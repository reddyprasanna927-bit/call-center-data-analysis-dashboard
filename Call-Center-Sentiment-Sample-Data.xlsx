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D2EB3C5-4531-46CC-9965-D6B67BB30DCC}" xr6:coauthVersionLast="47" xr6:coauthVersionMax="47" xr10:uidLastSave="{00000000-0000-0000-0000-000000000000}"/>
  <bookViews>
    <workbookView xWindow="-110" yWindow="-110" windowWidth="19420" windowHeight="10300" activeTab="1" xr2:uid="{09ED46DE-924B-4F87-A435-105EA3E3F249}"/>
  </bookViews>
  <sheets>
    <sheet name="pivot table" sheetId="3" r:id="rId1"/>
    <sheet name="Dashboard" sheetId="5" r:id="rId2"/>
    <sheet name="Call Center Data" sheetId="2" r:id="rId3"/>
  </sheets>
  <definedNames>
    <definedName name="_xlcn.WorksheetConnection_CallCenterSentimentSampleData.xlsxTable11" hidden="1">Table1[]</definedName>
  </definedNames>
  <calcPr calcId="191029"/>
  <pivotCaches>
    <pivotCache cacheId="2" r:id="rId4"/>
    <pivotCache cacheId="26" r:id="rId5"/>
    <pivotCache cacheId="29" r:id="rId6"/>
    <pivotCache cacheId="40" r:id="rId7"/>
    <pivotCache cacheId="5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Call-Center-Sentiment-Sample-Dat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A37295-96BF-4856-98DD-5E46F977501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E2673BF-2BFD-43E5-9A23-F4C2FE62D0D7}" name="WorksheetConnection_Call-Center-Sentiment-Sample-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allCenterSentimentSampleData.xlsxTable11"/>
        </x15:connection>
      </ext>
    </extLst>
  </connection>
</connections>
</file>

<file path=xl/sharedStrings.xml><?xml version="1.0" encoding="utf-8"?>
<sst xmlns="http://schemas.openxmlformats.org/spreadsheetml/2006/main" count="704" uniqueCount="263">
  <si>
    <t>Excel Sample Data</t>
  </si>
  <si>
    <t>Call Center Sentiment Analysis Data</t>
  </si>
  <si>
    <t>ID</t>
  </si>
  <si>
    <t>Customer Name</t>
  </si>
  <si>
    <t>Sentiment</t>
  </si>
  <si>
    <t>CSAT Score</t>
  </si>
  <si>
    <t>Call Timestamp</t>
  </si>
  <si>
    <t>Reason</t>
  </si>
  <si>
    <t>City</t>
  </si>
  <si>
    <t>State</t>
  </si>
  <si>
    <t>Channel</t>
  </si>
  <si>
    <t>Response Time</t>
  </si>
  <si>
    <t>Call Duration (Minutes)</t>
  </si>
  <si>
    <t>Call Center</t>
  </si>
  <si>
    <t>PIS-39858047</t>
  </si>
  <si>
    <t>Frances Gullefant</t>
  </si>
  <si>
    <t>Neutral</t>
  </si>
  <si>
    <t>Billing Question</t>
  </si>
  <si>
    <t>Charleston</t>
  </si>
  <si>
    <t>West Virginia</t>
  </si>
  <si>
    <t>Chatbot</t>
  </si>
  <si>
    <t>Within SLA</t>
  </si>
  <si>
    <t>Chicago/IL</t>
  </si>
  <si>
    <t>ROH-40287216</t>
  </si>
  <si>
    <t>Harcourt Zoanetti</t>
  </si>
  <si>
    <t>Negative</t>
  </si>
  <si>
    <t>Honolulu</t>
  </si>
  <si>
    <t>Hawaii</t>
  </si>
  <si>
    <t>Call-Center</t>
  </si>
  <si>
    <t>Los Angeles/CA</t>
  </si>
  <si>
    <t>NKC-39578431</t>
  </si>
  <si>
    <t>Washington Oxteby</t>
  </si>
  <si>
    <t>Dallas</t>
  </si>
  <si>
    <t>Texas</t>
  </si>
  <si>
    <t>Denver/CO</t>
  </si>
  <si>
    <t>APY-17008648</t>
  </si>
  <si>
    <t>Rafe Duffitt</t>
  </si>
  <si>
    <t>Very Negative</t>
  </si>
  <si>
    <t>Fort Myers</t>
  </si>
  <si>
    <t>Florida</t>
  </si>
  <si>
    <t>Email</t>
  </si>
  <si>
    <t>Below SLA</t>
  </si>
  <si>
    <t>MHK-38443501</t>
  </si>
  <si>
    <t>Tris Bent</t>
  </si>
  <si>
    <t>Positive</t>
  </si>
  <si>
    <t>Tuscaloosa</t>
  </si>
  <si>
    <t>Alabama</t>
  </si>
  <si>
    <t>Web</t>
  </si>
  <si>
    <t>QKL-49133006</t>
  </si>
  <si>
    <t>Kassie Elman</t>
  </si>
  <si>
    <t>South Carolina</t>
  </si>
  <si>
    <t>Baltimore/MD</t>
  </si>
  <si>
    <t>ZPZ-31710059</t>
  </si>
  <si>
    <t>Elbertina Hewins</t>
  </si>
  <si>
    <t>Very Positive</t>
  </si>
  <si>
    <t>Payments</t>
  </si>
  <si>
    <t>Pensacola</t>
  </si>
  <si>
    <t>IJF-13083880</t>
  </si>
  <si>
    <t>Garland Chuney</t>
  </si>
  <si>
    <t>Little Rock</t>
  </si>
  <si>
    <t>Arkansas</t>
  </si>
  <si>
    <t>ZKW-68562847</t>
  </si>
  <si>
    <t>Caroljean Bischop</t>
  </si>
  <si>
    <t>Nashville</t>
  </si>
  <si>
    <t>Tennessee</t>
  </si>
  <si>
    <t>NIL-47926257</t>
  </si>
  <si>
    <t>Delmor McKleod</t>
  </si>
  <si>
    <t>El Paso</t>
  </si>
  <si>
    <t>BPQ-80812775</t>
  </si>
  <si>
    <t>Julee O'Gavin</t>
  </si>
  <si>
    <t>Santa Ana</t>
  </si>
  <si>
    <t>California</t>
  </si>
  <si>
    <t>Above SLA</t>
  </si>
  <si>
    <t>ZOK-34480332</t>
  </si>
  <si>
    <t>Jaye Gribbon</t>
  </si>
  <si>
    <t>Huntington</t>
  </si>
  <si>
    <t>ZMB-79323804</t>
  </si>
  <si>
    <t>Brodie Dobrowski</t>
  </si>
  <si>
    <t>Pittsburgh</t>
  </si>
  <si>
    <t>Pennsylvania</t>
  </si>
  <si>
    <t>YYO-56445305</t>
  </si>
  <si>
    <t>Sibylla Kemet</t>
  </si>
  <si>
    <t>Tucson</t>
  </si>
  <si>
    <t>Arizona</t>
  </si>
  <si>
    <t>JYD-67455825</t>
  </si>
  <si>
    <t>Quintilla Hourston</t>
  </si>
  <si>
    <t>Des Moines</t>
  </si>
  <si>
    <t>Iowa</t>
  </si>
  <si>
    <t>KNO-93249512</t>
  </si>
  <si>
    <t>Maggi Simpson</t>
  </si>
  <si>
    <t>San Francisco</t>
  </si>
  <si>
    <t>VFG-63863025</t>
  </si>
  <si>
    <t>Early Andrassy</t>
  </si>
  <si>
    <t>Lansing</t>
  </si>
  <si>
    <t>Michigan</t>
  </si>
  <si>
    <t>UCT-41608771</t>
  </si>
  <si>
    <t>Ettie Ruoff</t>
  </si>
  <si>
    <t>Washington</t>
  </si>
  <si>
    <t>District of Columbia</t>
  </si>
  <si>
    <t>YLF-83918836</t>
  </si>
  <si>
    <t>Bogey McReath</t>
  </si>
  <si>
    <t>New York City</t>
  </si>
  <si>
    <t>New York</t>
  </si>
  <si>
    <t>QCH-83950486</t>
  </si>
  <si>
    <t>Sephira Philippart</t>
  </si>
  <si>
    <t>Madison</t>
  </si>
  <si>
    <t>Wisconsin</t>
  </si>
  <si>
    <t>PDB-14404239</t>
  </si>
  <si>
    <t>Charles Sandison</t>
  </si>
  <si>
    <t>Fort Pierce</t>
  </si>
  <si>
    <t>LFZ-17229282</t>
  </si>
  <si>
    <t>Zora Keelin</t>
  </si>
  <si>
    <t>Lubbock</t>
  </si>
  <si>
    <t>VKV-67119644</t>
  </si>
  <si>
    <t>Lillis Dewhurst</t>
  </si>
  <si>
    <t>Stockton</t>
  </si>
  <si>
    <t>PBY-32667898</t>
  </si>
  <si>
    <t>Luz Gudgeon</t>
  </si>
  <si>
    <t>Service Outage</t>
  </si>
  <si>
    <t>Corpus Christi</t>
  </si>
  <si>
    <t>EWI-18960031</t>
  </si>
  <si>
    <t>Abigale Morgan</t>
  </si>
  <si>
    <t>Minneapolis</t>
  </si>
  <si>
    <t>Minnesota</t>
  </si>
  <si>
    <t>IYX-48770048</t>
  </si>
  <si>
    <t>Minette Muzzillo</t>
  </si>
  <si>
    <t>Colorado Springs</t>
  </si>
  <si>
    <t>Colorado</t>
  </si>
  <si>
    <t>EVO-87671386</t>
  </si>
  <si>
    <t>Nanon FitzGilbert</t>
  </si>
  <si>
    <t>Abilene</t>
  </si>
  <si>
    <t>ZYX-10467563</t>
  </si>
  <si>
    <t>Ginelle Olver</t>
  </si>
  <si>
    <t>Fort Lauderdale</t>
  </si>
  <si>
    <t>DZU-03236134</t>
  </si>
  <si>
    <t>Tricia Kinnie</t>
  </si>
  <si>
    <t>Shawnee Mission</t>
  </si>
  <si>
    <t>Kansas</t>
  </si>
  <si>
    <t>CAZ-10660311</t>
  </si>
  <si>
    <t>Kristoforo Burnell</t>
  </si>
  <si>
    <t>Gainesville</t>
  </si>
  <si>
    <t>ESF-57588548</t>
  </si>
  <si>
    <t>Dulsea Pendry</t>
  </si>
  <si>
    <t>Erie</t>
  </si>
  <si>
    <t>WKS-55916097</t>
  </si>
  <si>
    <t>Alberik Jacques</t>
  </si>
  <si>
    <t>Houston</t>
  </si>
  <si>
    <t>OHX-59443580</t>
  </si>
  <si>
    <t>Banky Falla</t>
  </si>
  <si>
    <t>Saint Paul</t>
  </si>
  <si>
    <t>TLA-11600824</t>
  </si>
  <si>
    <t>Ganny Crampsy</t>
  </si>
  <si>
    <t>YPB-82095843</t>
  </si>
  <si>
    <t>Shari Adrienne</t>
  </si>
  <si>
    <t>Fort Worth</t>
  </si>
  <si>
    <t>LZU-62237096</t>
  </si>
  <si>
    <t>Charo Aisbett</t>
  </si>
  <si>
    <t>Salt Lake City</t>
  </si>
  <si>
    <t>Utah</t>
  </si>
  <si>
    <t>XCX-53374693</t>
  </si>
  <si>
    <t>Francyne Hagergham</t>
  </si>
  <si>
    <t>PJL-11752230</t>
  </si>
  <si>
    <t>Lindsay Bubb</t>
  </si>
  <si>
    <t>South Lake Tahoe</t>
  </si>
  <si>
    <t>MFC-52269149</t>
  </si>
  <si>
    <t>Roobbie Pickervance</t>
  </si>
  <si>
    <t>Montgomery</t>
  </si>
  <si>
    <t>TQC-88855863</t>
  </si>
  <si>
    <t>Erminia Lummasana</t>
  </si>
  <si>
    <t>Providence</t>
  </si>
  <si>
    <t>Rhode Island</t>
  </si>
  <si>
    <t>FGR-90006976</t>
  </si>
  <si>
    <t>Ariel Pittendreigh</t>
  </si>
  <si>
    <t>Richmond</t>
  </si>
  <si>
    <t>Virginia</t>
  </si>
  <si>
    <t>PAT-23706620</t>
  </si>
  <si>
    <t>Rudie Tomsen</t>
  </si>
  <si>
    <t>Johnstown</t>
  </si>
  <si>
    <t>XRX-56871498</t>
  </si>
  <si>
    <t>Alric Scrane</t>
  </si>
  <si>
    <t>BYM-24034403</t>
  </si>
  <si>
    <t>Eyde Djurevic</t>
  </si>
  <si>
    <t>Bronx</t>
  </si>
  <si>
    <t>TNK-37391425</t>
  </si>
  <si>
    <t>Hubey Wartonby</t>
  </si>
  <si>
    <t>Las Vegas</t>
  </si>
  <si>
    <t>Nevada</t>
  </si>
  <si>
    <t>JJM-32557838</t>
  </si>
  <si>
    <t>Cirstoforo Jemmett</t>
  </si>
  <si>
    <t>KWC-18652469</t>
  </si>
  <si>
    <t>Elijah Goalby</t>
  </si>
  <si>
    <t>Pasadena</t>
  </si>
  <si>
    <t>GCS-45015293</t>
  </si>
  <si>
    <t>Thaddus Seeley</t>
  </si>
  <si>
    <t>Sacramento</t>
  </si>
  <si>
    <t>IZX-08099835</t>
  </si>
  <si>
    <t>Brody Rebichon</t>
  </si>
  <si>
    <t>Chicago</t>
  </si>
  <si>
    <t>Illinois</t>
  </si>
  <si>
    <t>TPZ-92635583</t>
  </si>
  <si>
    <t>Eartha Boner</t>
  </si>
  <si>
    <t>Fort Wayne</t>
  </si>
  <si>
    <t>Indiana</t>
  </si>
  <si>
    <t>JOT-87331404</t>
  </si>
  <si>
    <t>Loralee Shivell</t>
  </si>
  <si>
    <t>Kansas City</t>
  </si>
  <si>
    <t>Missouri</t>
  </si>
  <si>
    <t>OKK-04567923</t>
  </si>
  <si>
    <t>Zacherie Tigner</t>
  </si>
  <si>
    <t>Long Beach</t>
  </si>
  <si>
    <t>TCX-30032546</t>
  </si>
  <si>
    <t>Madelena Pinnock</t>
  </si>
  <si>
    <t>HMX-04214019</t>
  </si>
  <si>
    <t>Mira Beddows</t>
  </si>
  <si>
    <t>Baton Rouge</t>
  </si>
  <si>
    <t>Louisiana</t>
  </si>
  <si>
    <t>SYU-34524338</t>
  </si>
  <si>
    <t>Giralda Gebby</t>
  </si>
  <si>
    <t>Naperville</t>
  </si>
  <si>
    <t>GBF-72465641</t>
  </si>
  <si>
    <t>Shelagh Washington</t>
  </si>
  <si>
    <t>FMF-68865737</t>
  </si>
  <si>
    <t>Janeczka Caze</t>
  </si>
  <si>
    <t>WMA-45712668</t>
  </si>
  <si>
    <t>Angie Francklin</t>
  </si>
  <si>
    <t>Evansville</t>
  </si>
  <si>
    <t>VEC-69408692</t>
  </si>
  <si>
    <t>Anna-maria McPeice</t>
  </si>
  <si>
    <t>Rockford</t>
  </si>
  <si>
    <t>MBN-58485152</t>
  </si>
  <si>
    <t>Jude Traise</t>
  </si>
  <si>
    <t>Harrisburg</t>
  </si>
  <si>
    <t>VBY-78584211</t>
  </si>
  <si>
    <t>Evangeline Dillingham</t>
  </si>
  <si>
    <t>Reno</t>
  </si>
  <si>
    <t>WSO-69134806</t>
  </si>
  <si>
    <t>Patti Gocher</t>
  </si>
  <si>
    <t>Bloomington</t>
  </si>
  <si>
    <t>MYP-30178430</t>
  </si>
  <si>
    <t>Cora Buggs</t>
  </si>
  <si>
    <t>Katy</t>
  </si>
  <si>
    <t>FRU-31409409</t>
  </si>
  <si>
    <t>Othella Kindle</t>
  </si>
  <si>
    <t>VMZ-59696572</t>
  </si>
  <si>
    <t>Sheppard Withull</t>
  </si>
  <si>
    <t>Concord</t>
  </si>
  <si>
    <t>JCE-87896568</t>
  </si>
  <si>
    <t>Llewellyn Pablos</t>
  </si>
  <si>
    <t>GZL-83273642</t>
  </si>
  <si>
    <t>Lurleen Swadden</t>
  </si>
  <si>
    <t>YHK-31842577</t>
  </si>
  <si>
    <t>Ardith Bunting</t>
  </si>
  <si>
    <t>Columbus</t>
  </si>
  <si>
    <t>Ohio</t>
  </si>
  <si>
    <t>BGA-81071725</t>
  </si>
  <si>
    <t>Wylie Gramer</t>
  </si>
  <si>
    <t>Georgia</t>
  </si>
  <si>
    <t>CRQ-64410572</t>
  </si>
  <si>
    <t>Bat Pond</t>
  </si>
  <si>
    <t>Row Labels</t>
  </si>
  <si>
    <t>Grand Total</t>
  </si>
  <si>
    <t>Sum of CSAT Score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</si>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</sst>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14" fontId="2" fillId="0" borderId="0" xfId="0" applyNumberFormat="1" applyFont="1"/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4" fontId="5" fillId="0" borderId="9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[Call-Center-Sentiment-Sample-Data.xlsx]pivot 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SENTIMENT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solidFill>
            <a:schemeClr val="tx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table'!$A$4:$A$9</c:f>
              <c:strCache>
                <c:ptCount val="5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  <c:pt idx="3">
                  <c:v>Very Negative</c:v>
                </c:pt>
                <c:pt idx="4">
                  <c:v>Very Positive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121</c:v>
                </c:pt>
                <c:pt idx="1">
                  <c:v>63</c:v>
                </c:pt>
                <c:pt idx="2">
                  <c:v>77</c:v>
                </c:pt>
                <c:pt idx="3">
                  <c:v>46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7-4C4C-9A65-9B831183E5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4403824"/>
        <c:axId val="975295104"/>
      </c:barChart>
      <c:catAx>
        <c:axId val="35440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295104"/>
        <c:crosses val="autoZero"/>
        <c:auto val="1"/>
        <c:lblAlgn val="ctr"/>
        <c:lblOffset val="100"/>
        <c:noMultiLvlLbl val="0"/>
      </c:catAx>
      <c:valAx>
        <c:axId val="97529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0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[Call-Center-Sentiment-Sample-Data.xlsx]pivot table!PivotTable3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ANALYSIS</a:t>
            </a:r>
            <a:endParaRPr lang="en-US"/>
          </a:p>
        </c:rich>
      </c:tx>
      <c:layout>
        <c:manualLayout>
          <c:xMode val="edge"/>
          <c:yMode val="edge"/>
          <c:x val="0.281430446194225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87458442694663"/>
          <c:y val="7.3626864241728748E-2"/>
          <c:w val="0.29789740440479112"/>
          <c:h val="0.91398308878917922"/>
        </c:manualLayout>
      </c:layout>
      <c:pieChart>
        <c:varyColors val="1"/>
        <c:ser>
          <c:idx val="0"/>
          <c:order val="0"/>
          <c:tx>
            <c:strRef>
              <c:f>'pivot table'!$H$4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5F-4D0C-89A9-8BC569708B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5F-4D0C-89A9-8BC569708B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5F-4D0C-89A9-8BC569708B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5F-4D0C-89A9-8BC569708B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table'!$G$5:$G$9</c:f>
              <c:strCache>
                <c:ptCount val="4"/>
                <c:pt idx="0">
                  <c:v>Call-Center</c:v>
                </c:pt>
                <c:pt idx="1">
                  <c:v>Chatbot</c:v>
                </c:pt>
                <c:pt idx="2">
                  <c:v>Email</c:v>
                </c:pt>
                <c:pt idx="3">
                  <c:v>Web</c:v>
                </c:pt>
              </c:strCache>
            </c:strRef>
          </c:cat>
          <c:val>
            <c:numRef>
              <c:f>'pivot table'!$H$5:$H$9</c:f>
              <c:numCache>
                <c:formatCode>General</c:formatCode>
                <c:ptCount val="4"/>
                <c:pt idx="0">
                  <c:v>23</c:v>
                </c:pt>
                <c:pt idx="1">
                  <c:v>22</c:v>
                </c:pt>
                <c:pt idx="2">
                  <c:v>8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5F-4D0C-89A9-8BC569708B5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44205495964711"/>
          <c:y val="0.36824181390905447"/>
          <c:w val="0.24237406104179873"/>
          <c:h val="0.4015960683135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[Call-Center-Sentiment-Sample-Data.xlsx]pivot table!PivotTable4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CALL</a:t>
            </a:r>
            <a:r>
              <a:rPr lang="en-US" baseline="0"/>
              <a:t> CENTER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bg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table'!$C$14:$C$18</c:f>
              <c:strCache>
                <c:ptCount val="4"/>
                <c:pt idx="0">
                  <c:v>Baltimore/MD</c:v>
                </c:pt>
                <c:pt idx="1">
                  <c:v>Chicago/IL</c:v>
                </c:pt>
                <c:pt idx="2">
                  <c:v>Denver/CO</c:v>
                </c:pt>
                <c:pt idx="3">
                  <c:v>Los Angeles/CA</c:v>
                </c:pt>
              </c:strCache>
            </c:strRef>
          </c:cat>
          <c:val>
            <c:numRef>
              <c:f>'pivot table'!$D$14:$D$18</c:f>
              <c:numCache>
                <c:formatCode>General</c:formatCode>
                <c:ptCount val="4"/>
                <c:pt idx="0">
                  <c:v>139</c:v>
                </c:pt>
                <c:pt idx="1">
                  <c:v>33</c:v>
                </c:pt>
                <c:pt idx="2">
                  <c:v>21</c:v>
                </c:pt>
                <c:pt idx="3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5-4454-A5F9-7BFCBCB2D51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00077280"/>
        <c:axId val="1100077760"/>
      </c:barChart>
      <c:catAx>
        <c:axId val="110007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077760"/>
        <c:crosses val="autoZero"/>
        <c:auto val="1"/>
        <c:lblAlgn val="ctr"/>
        <c:lblOffset val="100"/>
        <c:noMultiLvlLbl val="0"/>
      </c:catAx>
      <c:valAx>
        <c:axId val="110007776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07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[Call-Center-Sentiment-Sample-Data.xlsx]pivot table!PivotTable5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</a:t>
            </a:r>
            <a:r>
              <a:rPr lang="en-US" baseline="0"/>
              <a:t> TIME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186981219334985E-2"/>
          <c:y val="0.11784892516865764"/>
          <c:w val="0.94229139333892298"/>
          <c:h val="0.797791973876874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table'!$H$16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table'!$G$17:$G$20</c:f>
              <c:strCache>
                <c:ptCount val="3"/>
                <c:pt idx="0">
                  <c:v>Above SLA</c:v>
                </c:pt>
                <c:pt idx="1">
                  <c:v>Below SLA</c:v>
                </c:pt>
                <c:pt idx="2">
                  <c:v>Within SLA</c:v>
                </c:pt>
              </c:strCache>
            </c:strRef>
          </c:cat>
          <c:val>
            <c:numRef>
              <c:f>'pivot table'!$H$17:$H$20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1-46A9-9DE4-53ECC45BB8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75677856"/>
        <c:axId val="475677376"/>
      </c:barChart>
      <c:catAx>
        <c:axId val="4756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77376"/>
        <c:crosses val="autoZero"/>
        <c:auto val="1"/>
        <c:lblAlgn val="ctr"/>
        <c:lblOffset val="100"/>
        <c:noMultiLvlLbl val="0"/>
      </c:catAx>
      <c:valAx>
        <c:axId val="475677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7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[Call-Center-Sentiment-Sample-Data.xlsx]pivot table!PivotTable6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</a:t>
            </a:r>
            <a:r>
              <a:rPr lang="en-IN" baseline="0"/>
              <a:t> WISE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table'!$L$12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table'!$K$13:$K$42</c:f>
              <c:strCache>
                <c:ptCount val="2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District of Columbia</c:v>
                </c:pt>
                <c:pt idx="6">
                  <c:v>Florida</c:v>
                </c:pt>
                <c:pt idx="7">
                  <c:v>Georgia</c:v>
                </c:pt>
                <c:pt idx="8">
                  <c:v>Hawaii</c:v>
                </c:pt>
                <c:pt idx="9">
                  <c:v>Illinois</c:v>
                </c:pt>
                <c:pt idx="10">
                  <c:v>Indiana</c:v>
                </c:pt>
                <c:pt idx="11">
                  <c:v>Iowa</c:v>
                </c:pt>
                <c:pt idx="12">
                  <c:v>Kansas</c:v>
                </c:pt>
                <c:pt idx="13">
                  <c:v>Louisiana</c:v>
                </c:pt>
                <c:pt idx="14">
                  <c:v>Michigan</c:v>
                </c:pt>
                <c:pt idx="15">
                  <c:v>Minnesota</c:v>
                </c:pt>
                <c:pt idx="16">
                  <c:v>Missouri</c:v>
                </c:pt>
                <c:pt idx="17">
                  <c:v>Nevada</c:v>
                </c:pt>
                <c:pt idx="18">
                  <c:v>New York</c:v>
                </c:pt>
                <c:pt idx="19">
                  <c:v>Ohio</c:v>
                </c:pt>
                <c:pt idx="20">
                  <c:v>Pennsylvania</c:v>
                </c:pt>
                <c:pt idx="21">
                  <c:v>Rhode Island</c:v>
                </c:pt>
                <c:pt idx="22">
                  <c:v>South Carolina</c:v>
                </c:pt>
                <c:pt idx="23">
                  <c:v>Tennessee</c:v>
                </c:pt>
                <c:pt idx="24">
                  <c:v>Texas</c:v>
                </c:pt>
                <c:pt idx="25">
                  <c:v>Utah</c:v>
                </c:pt>
                <c:pt idx="26">
                  <c:v>Virginia</c:v>
                </c:pt>
                <c:pt idx="27">
                  <c:v>West Virginia</c:v>
                </c:pt>
                <c:pt idx="28">
                  <c:v>Wisconsin</c:v>
                </c:pt>
              </c:strCache>
            </c:strRef>
          </c:cat>
          <c:val>
            <c:numRef>
              <c:f>'pivot table'!$L$13:$L$42</c:f>
              <c:numCache>
                <c:formatCode>General</c:formatCode>
                <c:ptCount val="2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7</c:v>
                </c:pt>
                <c:pt idx="7">
                  <c:v>1</c:v>
                </c:pt>
                <c:pt idx="8">
                  <c:v>1</c:v>
                </c:pt>
                <c:pt idx="9">
                  <c:v>5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4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9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3-4EAC-BE9C-743BFD8BB6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09992896"/>
        <c:axId val="1109993376"/>
        <c:axId val="0"/>
      </c:bar3DChart>
      <c:catAx>
        <c:axId val="110999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93376"/>
        <c:crosses val="autoZero"/>
        <c:auto val="1"/>
        <c:lblAlgn val="ctr"/>
        <c:lblOffset val="100"/>
        <c:noMultiLvlLbl val="0"/>
      </c:catAx>
      <c:valAx>
        <c:axId val="11099933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9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329043</xdr:colOff>
      <xdr:row>14</xdr:row>
      <xdr:rowOff>34636</xdr:rowOff>
    </xdr:from>
    <xdr:to>
      <xdr:col>27</xdr:col>
      <xdr:colOff>541616</xdr:colOff>
      <xdr:row>40</xdr:row>
      <xdr:rowOff>93383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CB31B-4A41-429A-B7BE-EB01B951E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279127</xdr:colOff>
      <xdr:row>14</xdr:row>
      <xdr:rowOff>18677</xdr:rowOff>
    </xdr:from>
    <xdr:to>
      <xdr:col>47</xdr:col>
      <xdr:colOff>18677</xdr:colOff>
      <xdr:row>40</xdr:row>
      <xdr:rowOff>18677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CFEF27-47D5-45D5-963E-489C98CE2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235662</xdr:colOff>
      <xdr:row>42</xdr:row>
      <xdr:rowOff>18675</xdr:rowOff>
    </xdr:from>
    <xdr:to>
      <xdr:col>28</xdr:col>
      <xdr:colOff>0</xdr:colOff>
      <xdr:row>67</xdr:row>
      <xdr:rowOff>-1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8EB1CC-87C2-492D-AD37-0D0F4907D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298824</xdr:colOff>
      <xdr:row>42</xdr:row>
      <xdr:rowOff>62141</xdr:rowOff>
    </xdr:from>
    <xdr:to>
      <xdr:col>47</xdr:col>
      <xdr:colOff>130735</xdr:colOff>
      <xdr:row>67</xdr:row>
      <xdr:rowOff>93383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30B273-1C91-4EF2-A630-565066F27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186764</xdr:colOff>
      <xdr:row>69</xdr:row>
      <xdr:rowOff>93382</xdr:rowOff>
    </xdr:from>
    <xdr:to>
      <xdr:col>47</xdr:col>
      <xdr:colOff>205441</xdr:colOff>
      <xdr:row>96</xdr:row>
      <xdr:rowOff>56028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4341E2-73C9-4EE9-9BBF-E5F95E3C3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80.969584143517" createdVersion="8" refreshedVersion="8" minRefreshableVersion="3" recordCount="70" xr:uid="{46CEFC48-D267-4DF4-B232-1F5EF424854C}">
  <cacheSource type="worksheet">
    <worksheetSource name="Table1"/>
  </cacheSource>
  <cacheFields count="12">
    <cacheField name="ID" numFmtId="0">
      <sharedItems/>
    </cacheField>
    <cacheField name="Customer Name" numFmtId="0">
      <sharedItems/>
    </cacheField>
    <cacheField name="Sentiment" numFmtId="0">
      <sharedItems count="5">
        <s v="Neutral"/>
        <s v="Negative"/>
        <s v="Very Negative"/>
        <s v="Positive"/>
        <s v="Very Positive"/>
      </sharedItems>
    </cacheField>
    <cacheField name="CSAT Score" numFmtId="0">
      <sharedItems containsSemiMixedTypes="0" containsString="0" containsNumber="1" containsInteger="1" minValue="1" maxValue="10"/>
    </cacheField>
    <cacheField name="Call Timestamp" numFmtId="14">
      <sharedItems containsSemiMixedTypes="0" containsNonDate="0" containsDate="1" containsString="0" minDate="2024-01-01T00:00:00" maxDate="2024-02-01T00:00:00"/>
    </cacheField>
    <cacheField name="Reason" numFmtId="0">
      <sharedItems/>
    </cacheField>
    <cacheField name="City" numFmtId="0">
      <sharedItems/>
    </cacheField>
    <cacheField name="State" numFmtId="0">
      <sharedItems/>
    </cacheField>
    <cacheField name="Channel" numFmtId="0">
      <sharedItems/>
    </cacheField>
    <cacheField name="Response Time" numFmtId="0">
      <sharedItems/>
    </cacheField>
    <cacheField name="Call Duration (Minutes)" numFmtId="0">
      <sharedItems containsSemiMixedTypes="0" containsString="0" containsNumber="1" containsInteger="1" minValue="6" maxValue="45"/>
    </cacheField>
    <cacheField name="Call Cent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980129398151" backgroundQuery="1" createdVersion="8" refreshedVersion="8" minRefreshableVersion="3" recordCount="0" supportSubquery="1" supportAdvancedDrill="1" xr:uid="{1A4E337F-737D-45CB-BDB0-9F1F57A61B5A}">
  <cacheSource type="external" connectionId="1"/>
  <cacheFields count="2">
    <cacheField name="[Table1].[Channel].[Channel]" caption="Channel" numFmtId="0" hierarchy="8" level="1">
      <sharedItems count="4">
        <s v="Call-Center"/>
        <s v="Chatbot"/>
        <s v="Email"/>
        <s v="Web"/>
      </sharedItems>
    </cacheField>
    <cacheField name="[Measures].[Count of ID]" caption="Count of ID" numFmtId="0" hierarchy="14" level="32767"/>
  </cacheFields>
  <cacheHierarchies count="16">
    <cacheHierarchy uniqueName="[Table1].[ID]" caption="ID" attribute="1" defaultMemberUniqueName="[Table1].[ID].[All]" allUniqueName="[Table1].[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ntiment]" caption="Sentiment" attribute="1" defaultMemberUniqueName="[Table1].[Sentiment].[All]" allUniqueName="[Table1].[Sentiment].[All]" dimensionUniqueName="[Table1]" displayFolder="" count="0" memberValueDatatype="130" unbalanced="0"/>
    <cacheHierarchy uniqueName="[Table1].[CSAT Score]" caption="CSAT Score" attribute="1" defaultMemberUniqueName="[Table1].[CSAT Score].[All]" allUniqueName="[Table1].[CSAT Score].[All]" dimensionUniqueName="[Table1]" displayFolder="" count="0" memberValueDatatype="20" unbalanced="0"/>
    <cacheHierarchy uniqueName="[Table1].[Call Timestamp]" caption="Call Timestamp" attribute="1" time="1" defaultMemberUniqueName="[Table1].[Call Timestamp].[All]" allUniqueName="[Table1].[Call Timestamp].[All]" dimensionUniqueName="[Table1]" displayFolder="" count="0" memberValueDatatype="7" unbalanced="0"/>
    <cacheHierarchy uniqueName="[Table1].[Reason]" caption="Reason" attribute="1" defaultMemberUniqueName="[Table1].[Reason].[All]" allUniqueName="[Table1].[Reas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sponse Time]" caption="Response Time" attribute="1" defaultMemberUniqueName="[Table1].[Response Time].[All]" allUniqueName="[Table1].[Response Time].[All]" dimensionUniqueName="[Table1]" displayFolder="" count="0" memberValueDatatype="130" unbalanced="0"/>
    <cacheHierarchy uniqueName="[Table1].[Call Duration (Minutes)]" caption="Call Duration (Minutes)" attribute="1" defaultMemberUniqueName="[Table1].[Call Duration (Minutes)].[All]" allUniqueName="[Table1].[Call Duration (Minutes)].[All]" dimensionUniqueName="[Table1]" displayFolder="" count="0" memberValueDatatype="20" unbalanced="0"/>
    <cacheHierarchy uniqueName="[Table1].[Call Center]" caption="Call Center" attribute="1" defaultMemberUniqueName="[Table1].[Call Center].[All]" allUniqueName="[Table1].[Call Center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SAT Score]" caption="Sum of CSAT Score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98087615741" backgroundQuery="1" createdVersion="8" refreshedVersion="8" minRefreshableVersion="3" recordCount="0" supportSubquery="1" supportAdvancedDrill="1" xr:uid="{4F076B0C-466B-45A2-A8F1-5400EC827D6E}">
  <cacheSource type="external" connectionId="1"/>
  <cacheFields count="2">
    <cacheField name="[Table1].[Call Center].[Call Center]" caption="Call Center" numFmtId="0" hierarchy="11" level="1">
      <sharedItems count="4">
        <s v="Baltimore/MD"/>
        <s v="Chicago/IL"/>
        <s v="Denver/CO"/>
        <s v="Los Angeles/CA"/>
      </sharedItems>
    </cacheField>
    <cacheField name="[Measures].[Sum of CSAT Score]" caption="Sum of CSAT Score" numFmtId="0" hierarchy="15" level="32767"/>
  </cacheFields>
  <cacheHierarchies count="16">
    <cacheHierarchy uniqueName="[Table1].[ID]" caption="ID" attribute="1" defaultMemberUniqueName="[Table1].[ID].[All]" allUniqueName="[Table1].[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ntiment]" caption="Sentiment" attribute="1" defaultMemberUniqueName="[Table1].[Sentiment].[All]" allUniqueName="[Table1].[Sentiment].[All]" dimensionUniqueName="[Table1]" displayFolder="" count="0" memberValueDatatype="130" unbalanced="0"/>
    <cacheHierarchy uniqueName="[Table1].[CSAT Score]" caption="CSAT Score" attribute="1" defaultMemberUniqueName="[Table1].[CSAT Score].[All]" allUniqueName="[Table1].[CSAT Score].[All]" dimensionUniqueName="[Table1]" displayFolder="" count="0" memberValueDatatype="20" unbalanced="0"/>
    <cacheHierarchy uniqueName="[Table1].[Call Timestamp]" caption="Call Timestamp" attribute="1" time="1" defaultMemberUniqueName="[Table1].[Call Timestamp].[All]" allUniqueName="[Table1].[Call Timestamp].[All]" dimensionUniqueName="[Table1]" displayFolder="" count="0" memberValueDatatype="7" unbalanced="0"/>
    <cacheHierarchy uniqueName="[Table1].[Reason]" caption="Reason" attribute="1" defaultMemberUniqueName="[Table1].[Reason].[All]" allUniqueName="[Table1].[Reas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Response Time]" caption="Response Time" attribute="1" defaultMemberUniqueName="[Table1].[Response Time].[All]" allUniqueName="[Table1].[Response Time].[All]" dimensionUniqueName="[Table1]" displayFolder="" count="0" memberValueDatatype="130" unbalanced="0"/>
    <cacheHierarchy uniqueName="[Table1].[Call Duration (Minutes)]" caption="Call Duration (Minutes)" attribute="1" defaultMemberUniqueName="[Table1].[Call Duration (Minutes)].[All]" allUniqueName="[Table1].[Call Duration (Minutes)].[All]" dimensionUniqueName="[Table1]" displayFolder="" count="0" memberValueDatatype="20" unbalanced="0"/>
    <cacheHierarchy uniqueName="[Table1].[Call Center]" caption="Call Center" attribute="1" defaultMemberUniqueName="[Table1].[Call Center].[All]" allUniqueName="[Table1].[Call Center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SAT Score]" caption="Sum of CSAT Scor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981463194446" backgroundQuery="1" createdVersion="8" refreshedVersion="8" minRefreshableVersion="3" recordCount="0" supportSubquery="1" supportAdvancedDrill="1" xr:uid="{A77B2C4C-D00E-4FE3-B600-3C62A195499A}">
  <cacheSource type="external" connectionId="1"/>
  <cacheFields count="2">
    <cacheField name="[Table1].[Response Time].[Response Time]" caption="Response Time" numFmtId="0" hierarchy="9" level="1">
      <sharedItems count="3">
        <s v="Above SLA"/>
        <s v="Below SLA"/>
        <s v="Within SLA"/>
      </sharedItems>
    </cacheField>
    <cacheField name="[Measures].[Count of ID]" caption="Count of ID" numFmtId="0" hierarchy="14" level="32767"/>
  </cacheFields>
  <cacheHierarchies count="16">
    <cacheHierarchy uniqueName="[Table1].[ID]" caption="ID" attribute="1" defaultMemberUniqueName="[Table1].[ID].[All]" allUniqueName="[Table1].[ID].[All]" dimensionUniqueName="[Table1]" displayFolder="" count="2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ntiment]" caption="Sentiment" attribute="1" defaultMemberUniqueName="[Table1].[Sentiment].[All]" allUniqueName="[Table1].[Sentiment].[All]" dimensionUniqueName="[Table1]" displayFolder="" count="0" memberValueDatatype="130" unbalanced="0"/>
    <cacheHierarchy uniqueName="[Table1].[CSAT Score]" caption="CSAT Score" attribute="1" defaultMemberUniqueName="[Table1].[CSAT Score].[All]" allUniqueName="[Table1].[CSAT Score].[All]" dimensionUniqueName="[Table1]" displayFolder="" count="0" memberValueDatatype="20" unbalanced="0"/>
    <cacheHierarchy uniqueName="[Table1].[Call Timestamp]" caption="Call Timestamp" attribute="1" time="1" defaultMemberUniqueName="[Table1].[Call Timestamp].[All]" allUniqueName="[Table1].[Call Timestamp].[All]" dimensionUniqueName="[Table1]" displayFolder="" count="0" memberValueDatatype="7" unbalanced="0"/>
    <cacheHierarchy uniqueName="[Table1].[Reason]" caption="Reason" attribute="1" defaultMemberUniqueName="[Table1].[Reason].[All]" allUniqueName="[Table1].[Reas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Response Time]" caption="Response Time" attribute="1" defaultMemberUniqueName="[Table1].[Response Time].[All]" allUniqueName="[Table1].[Response Ti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ll Duration (Minutes)]" caption="Call Duration (Minutes)" attribute="1" defaultMemberUniqueName="[Table1].[Call Duration (Minutes)].[All]" allUniqueName="[Table1].[Call Duration (Minutes)].[All]" dimensionUniqueName="[Table1]" displayFolder="" count="0" memberValueDatatype="20" unbalanced="0"/>
    <cacheHierarchy uniqueName="[Table1].[Call Center]" caption="Call Center" attribute="1" defaultMemberUniqueName="[Table1].[Call Center].[All]" allUniqueName="[Table1].[Call Center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SAT Score]" caption="Sum of CSAT Score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982170601848" backgroundQuery="1" createdVersion="8" refreshedVersion="8" minRefreshableVersion="3" recordCount="0" supportSubquery="1" supportAdvancedDrill="1" xr:uid="{009C4253-37B6-4CF0-BC72-24F592A1A182}">
  <cacheSource type="external" connectionId="1"/>
  <cacheFields count="2">
    <cacheField name="[Table1].[State].[State]" caption="State" numFmtId="0" hierarchy="7" level="1">
      <sharedItems count="29">
        <s v="Alabama"/>
        <s v="Arizona"/>
        <s v="Arkansas"/>
        <s v="California"/>
        <s v="Colorado"/>
        <s v="District of Columbia"/>
        <s v="Florida"/>
        <s v="Georgia"/>
        <s v="Hawaii"/>
        <s v="Illinois"/>
        <s v="Indiana"/>
        <s v="Iowa"/>
        <s v="Kansas"/>
        <s v="Louisiana"/>
        <s v="Michigan"/>
        <s v="Minnesota"/>
        <s v="Missouri"/>
        <s v="Nevada"/>
        <s v="New York"/>
        <s v="Ohio"/>
        <s v="Pennsylvania"/>
        <s v="Rhode Island"/>
        <s v="South Carolina"/>
        <s v="Tennessee"/>
        <s v="Texas"/>
        <s v="Utah"/>
        <s v="Virginia"/>
        <s v="West Virginia"/>
        <s v="Wisconsin"/>
      </sharedItems>
    </cacheField>
    <cacheField name="[Measures].[Count of ID]" caption="Count of ID" numFmtId="0" hierarchy="14" level="32767"/>
  </cacheFields>
  <cacheHierarchies count="16">
    <cacheHierarchy uniqueName="[Table1].[ID]" caption="ID" attribute="1" defaultMemberUniqueName="[Table1].[ID].[All]" allUniqueName="[Table1].[ID].[All]" dimensionUniqueName="[Table1]" displayFolder="" count="2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ntiment]" caption="Sentiment" attribute="1" defaultMemberUniqueName="[Table1].[Sentiment].[All]" allUniqueName="[Table1].[Sentiment].[All]" dimensionUniqueName="[Table1]" displayFolder="" count="0" memberValueDatatype="130" unbalanced="0"/>
    <cacheHierarchy uniqueName="[Table1].[CSAT Score]" caption="CSAT Score" attribute="1" defaultMemberUniqueName="[Table1].[CSAT Score].[All]" allUniqueName="[Table1].[CSAT Score].[All]" dimensionUniqueName="[Table1]" displayFolder="" count="0" memberValueDatatype="20" unbalanced="0"/>
    <cacheHierarchy uniqueName="[Table1].[Call Timestamp]" caption="Call Timestamp" attribute="1" time="1" defaultMemberUniqueName="[Table1].[Call Timestamp].[All]" allUniqueName="[Table1].[Call Timestamp].[All]" dimensionUniqueName="[Table1]" displayFolder="" count="0" memberValueDatatype="7" unbalanced="0"/>
    <cacheHierarchy uniqueName="[Table1].[Reason]" caption="Reason" attribute="1" defaultMemberUniqueName="[Table1].[Reason].[All]" allUniqueName="[Table1].[Reas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Response Time]" caption="Response Time" attribute="1" defaultMemberUniqueName="[Table1].[Response Time].[All]" allUniqueName="[Table1].[Response Time].[All]" dimensionUniqueName="[Table1]" displayFolder="" count="0" memberValueDatatype="130" unbalanced="0"/>
    <cacheHierarchy uniqueName="[Table1].[Call Duration (Minutes)]" caption="Call Duration (Minutes)" attribute="1" defaultMemberUniqueName="[Table1].[Call Duration (Minutes)].[All]" allUniqueName="[Table1].[Call Duration (Minutes)].[All]" dimensionUniqueName="[Table1]" displayFolder="" count="0" memberValueDatatype="20" unbalanced="0"/>
    <cacheHierarchy uniqueName="[Table1].[Call Center]" caption="Call Center" attribute="1" defaultMemberUniqueName="[Table1].[Call Center].[All]" allUniqueName="[Table1].[Call Center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ID]" caption="Count of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SAT Score]" caption="Sum of CSAT Score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PIS-39858047"/>
    <s v="Frances Gullefant"/>
    <x v="0"/>
    <n v="8"/>
    <d v="2024-01-01T00:00:00"/>
    <s v="Billing Question"/>
    <s v="Charleston"/>
    <s v="West Virginia"/>
    <s v="Chatbot"/>
    <s v="Within SLA"/>
    <n v="14"/>
    <s v="Chicago/IL"/>
  </r>
  <r>
    <s v="ROH-40287216"/>
    <s v="Harcourt Zoanetti"/>
    <x v="1"/>
    <n v="5"/>
    <d v="2024-01-01T00:00:00"/>
    <s v="Billing Question"/>
    <s v="Honolulu"/>
    <s v="Hawaii"/>
    <s v="Call-Center"/>
    <s v="Within SLA"/>
    <n v="32"/>
    <s v="Los Angeles/CA"/>
  </r>
  <r>
    <s v="NKC-39578431"/>
    <s v="Washington Oxteby"/>
    <x v="1"/>
    <n v="3"/>
    <d v="2024-01-02T00:00:00"/>
    <s v="Billing Question"/>
    <s v="Dallas"/>
    <s v="Texas"/>
    <s v="Chatbot"/>
    <s v="Within SLA"/>
    <n v="6"/>
    <s v="Denver/CO"/>
  </r>
  <r>
    <s v="APY-17008648"/>
    <s v="Rafe Duffitt"/>
    <x v="2"/>
    <n v="4"/>
    <d v="2024-01-02T00:00:00"/>
    <s v="Billing Question"/>
    <s v="Fort Myers"/>
    <s v="Florida"/>
    <s v="Email"/>
    <s v="Below SLA"/>
    <n v="26"/>
    <s v="Los Angeles/CA"/>
  </r>
  <r>
    <s v="MHK-38443501"/>
    <s v="Tris Bent"/>
    <x v="3"/>
    <n v="8"/>
    <d v="2024-01-02T00:00:00"/>
    <s v="Billing Question"/>
    <s v="Tuscaloosa"/>
    <s v="Alabama"/>
    <s v="Web"/>
    <s v="Within SLA"/>
    <n v="26"/>
    <s v="Los Angeles/CA"/>
  </r>
  <r>
    <s v="QKL-49133006"/>
    <s v="Kassie Elman"/>
    <x v="2"/>
    <n v="4"/>
    <d v="2024-01-03T00:00:00"/>
    <s v="Billing Question"/>
    <s v="Charleston"/>
    <s v="South Carolina"/>
    <s v="Web"/>
    <s v="Within SLA"/>
    <n v="6"/>
    <s v="Baltimore/MD"/>
  </r>
  <r>
    <s v="ZPZ-31710059"/>
    <s v="Elbertina Hewins"/>
    <x v="4"/>
    <n v="10"/>
    <d v="2024-01-03T00:00:00"/>
    <s v="Payments"/>
    <s v="Pensacola"/>
    <s v="Florida"/>
    <s v="Call-Center"/>
    <s v="Within SLA"/>
    <n v="9"/>
    <s v="Los Angeles/CA"/>
  </r>
  <r>
    <s v="IJF-13083880"/>
    <s v="Garland Chuney"/>
    <x v="1"/>
    <n v="3"/>
    <d v="2024-01-04T00:00:00"/>
    <s v="Billing Question"/>
    <s v="Little Rock"/>
    <s v="Arkansas"/>
    <s v="Call-Center"/>
    <s v="Within SLA"/>
    <n v="15"/>
    <s v="Baltimore/MD"/>
  </r>
  <r>
    <s v="ZKW-68562847"/>
    <s v="Caroljean Bischop"/>
    <x v="1"/>
    <n v="3"/>
    <d v="2024-01-04T00:00:00"/>
    <s v="Billing Question"/>
    <s v="Nashville"/>
    <s v="Tennessee"/>
    <s v="Web"/>
    <s v="Within SLA"/>
    <n v="12"/>
    <s v="Los Angeles/CA"/>
  </r>
  <r>
    <s v="NIL-47926257"/>
    <s v="Delmor McKleod"/>
    <x v="1"/>
    <n v="6"/>
    <d v="2024-01-05T00:00:00"/>
    <s v="Billing Question"/>
    <s v="El Paso"/>
    <s v="Texas"/>
    <s v="Web"/>
    <s v="Within SLA"/>
    <n v="42"/>
    <s v="Los Angeles/CA"/>
  </r>
  <r>
    <s v="BPQ-80812775"/>
    <s v="Julee O'Gavin"/>
    <x v="1"/>
    <n v="3"/>
    <d v="2024-01-05T00:00:00"/>
    <s v="Billing Question"/>
    <s v="Santa Ana"/>
    <s v="California"/>
    <s v="Chatbot"/>
    <s v="Above SLA"/>
    <n v="44"/>
    <s v="Baltimore/MD"/>
  </r>
  <r>
    <s v="ZOK-34480332"/>
    <s v="Jaye Gribbon"/>
    <x v="0"/>
    <n v="7"/>
    <d v="2024-01-06T00:00:00"/>
    <s v="Billing Question"/>
    <s v="Huntington"/>
    <s v="West Virginia"/>
    <s v="Chatbot"/>
    <s v="Within SLA"/>
    <n v="29"/>
    <s v="Baltimore/MD"/>
  </r>
  <r>
    <s v="ZMB-79323804"/>
    <s v="Brodie Dobrowski"/>
    <x v="1"/>
    <n v="5"/>
    <d v="2024-01-06T00:00:00"/>
    <s v="Billing Question"/>
    <s v="Pittsburgh"/>
    <s v="Pennsylvania"/>
    <s v="Chatbot"/>
    <s v="Within SLA"/>
    <n v="35"/>
    <s v="Baltimore/MD"/>
  </r>
  <r>
    <s v="YYO-56445305"/>
    <s v="Sibylla Kemet"/>
    <x v="2"/>
    <n v="2"/>
    <d v="2024-01-07T00:00:00"/>
    <s v="Billing Question"/>
    <s v="Tucson"/>
    <s v="Arizona"/>
    <s v="Web"/>
    <s v="Within SLA"/>
    <n v="30"/>
    <s v="Los Angeles/CA"/>
  </r>
  <r>
    <s v="JYD-67455825"/>
    <s v="Quintilla Hourston"/>
    <x v="1"/>
    <n v="6"/>
    <d v="2024-01-07T00:00:00"/>
    <s v="Payments"/>
    <s v="Des Moines"/>
    <s v="Iowa"/>
    <s v="Call-Center"/>
    <s v="Within SLA"/>
    <n v="29"/>
    <s v="Los Angeles/CA"/>
  </r>
  <r>
    <s v="KNO-93249512"/>
    <s v="Maggi Simpson"/>
    <x v="3"/>
    <n v="9"/>
    <d v="2024-01-08T00:00:00"/>
    <s v="Payments"/>
    <s v="San Francisco"/>
    <s v="California"/>
    <s v="Call-Center"/>
    <s v="Within SLA"/>
    <n v="9"/>
    <s v="Baltimore/MD"/>
  </r>
  <r>
    <s v="VFG-63863025"/>
    <s v="Early Andrassy"/>
    <x v="4"/>
    <n v="9"/>
    <d v="2024-01-08T00:00:00"/>
    <s v="Billing Question"/>
    <s v="Lansing"/>
    <s v="Michigan"/>
    <s v="Chatbot"/>
    <s v="Within SLA"/>
    <n v="8"/>
    <s v="Los Angeles/CA"/>
  </r>
  <r>
    <s v="UCT-41608771"/>
    <s v="Ettie Ruoff"/>
    <x v="2"/>
    <n v="3"/>
    <d v="2024-01-08T00:00:00"/>
    <s v="Billing Question"/>
    <s v="Washington"/>
    <s v="District of Columbia"/>
    <s v="Chatbot"/>
    <s v="Above SLA"/>
    <n v="35"/>
    <s v="Chicago/IL"/>
  </r>
  <r>
    <s v="YLF-83918836"/>
    <s v="Bogey McReath"/>
    <x v="3"/>
    <n v="7"/>
    <d v="2024-01-08T00:00:00"/>
    <s v="Billing Question"/>
    <s v="New York City"/>
    <s v="New York"/>
    <s v="Web"/>
    <s v="Within SLA"/>
    <n v="20"/>
    <s v="Baltimore/MD"/>
  </r>
  <r>
    <s v="QCH-83950486"/>
    <s v="Sephira Philippart"/>
    <x v="1"/>
    <n v="3"/>
    <d v="2024-01-09T00:00:00"/>
    <s v="Billing Question"/>
    <s v="Madison"/>
    <s v="Wisconsin"/>
    <s v="Web"/>
    <s v="Within SLA"/>
    <n v="31"/>
    <s v="Los Angeles/CA"/>
  </r>
  <r>
    <s v="PDB-14404239"/>
    <s v="Charles Sandison"/>
    <x v="0"/>
    <n v="5"/>
    <d v="2024-01-09T00:00:00"/>
    <s v="Billing Question"/>
    <s v="Fort Pierce"/>
    <s v="Florida"/>
    <s v="Email"/>
    <s v="Below SLA"/>
    <n v="39"/>
    <s v="Los Angeles/CA"/>
  </r>
  <r>
    <s v="LFZ-17229282"/>
    <s v="Zora Keelin"/>
    <x v="1"/>
    <n v="3"/>
    <d v="2024-01-10T00:00:00"/>
    <s v="Billing Question"/>
    <s v="Lubbock"/>
    <s v="Texas"/>
    <s v="Call-Center"/>
    <s v="Within SLA"/>
    <n v="38"/>
    <s v="Denver/CO"/>
  </r>
  <r>
    <s v="VKV-67119644"/>
    <s v="Lillis Dewhurst"/>
    <x v="1"/>
    <n v="4"/>
    <d v="2024-01-10T00:00:00"/>
    <s v="Billing Question"/>
    <s v="Stockton"/>
    <s v="California"/>
    <s v="Call-Center"/>
    <s v="Above SLA"/>
    <n v="44"/>
    <s v="Denver/CO"/>
  </r>
  <r>
    <s v="PBY-32667898"/>
    <s v="Luz Gudgeon"/>
    <x v="2"/>
    <n v="4"/>
    <d v="2024-01-11T00:00:00"/>
    <s v="Service Outage"/>
    <s v="Corpus Christi"/>
    <s v="Texas"/>
    <s v="Chatbot"/>
    <s v="Within SLA"/>
    <n v="41"/>
    <s v="Chicago/IL"/>
  </r>
  <r>
    <s v="EWI-18960031"/>
    <s v="Abigale Morgan"/>
    <x v="2"/>
    <n v="4"/>
    <d v="2024-01-11T00:00:00"/>
    <s v="Billing Question"/>
    <s v="Minneapolis"/>
    <s v="Minnesota"/>
    <s v="Chatbot"/>
    <s v="Within SLA"/>
    <n v="7"/>
    <s v="Baltimore/MD"/>
  </r>
  <r>
    <s v="IYX-48770048"/>
    <s v="Minette Muzzillo"/>
    <x v="2"/>
    <n v="4"/>
    <d v="2024-01-12T00:00:00"/>
    <s v="Billing Question"/>
    <s v="Colorado Springs"/>
    <s v="Colorado"/>
    <s v="Email"/>
    <s v="Within SLA"/>
    <n v="34"/>
    <s v="Los Angeles/CA"/>
  </r>
  <r>
    <s v="EVO-87671386"/>
    <s v="Nanon FitzGilbert"/>
    <x v="4"/>
    <n v="10"/>
    <d v="2024-01-12T00:00:00"/>
    <s v="Billing Question"/>
    <s v="Abilene"/>
    <s v="Texas"/>
    <s v="Web"/>
    <s v="Below SLA"/>
    <n v="36"/>
    <s v="Los Angeles/CA"/>
  </r>
  <r>
    <s v="ZYX-10467563"/>
    <s v="Ginelle Olver"/>
    <x v="0"/>
    <n v="8"/>
    <d v="2024-01-13T00:00:00"/>
    <s v="Billing Question"/>
    <s v="Fort Lauderdale"/>
    <s v="Florida"/>
    <s v="Call-Center"/>
    <s v="Within SLA"/>
    <n v="9"/>
    <s v="Chicago/IL"/>
  </r>
  <r>
    <s v="DZU-03236134"/>
    <s v="Tricia Kinnie"/>
    <x v="1"/>
    <n v="6"/>
    <d v="2024-01-13T00:00:00"/>
    <s v="Billing Question"/>
    <s v="Shawnee Mission"/>
    <s v="Kansas"/>
    <s v="Call-Center"/>
    <s v="Within SLA"/>
    <n v="39"/>
    <s v="Baltimore/MD"/>
  </r>
  <r>
    <s v="CAZ-10660311"/>
    <s v="Kristoforo Burnell"/>
    <x v="3"/>
    <n v="7"/>
    <d v="2024-01-14T00:00:00"/>
    <s v="Billing Question"/>
    <s v="Gainesville"/>
    <s v="Florida"/>
    <s v="Email"/>
    <s v="Within SLA"/>
    <n v="17"/>
    <s v="Los Angeles/CA"/>
  </r>
  <r>
    <s v="ESF-57588548"/>
    <s v="Dulsea Pendry"/>
    <x v="4"/>
    <n v="10"/>
    <d v="2024-01-14T00:00:00"/>
    <s v="Billing Question"/>
    <s v="Erie"/>
    <s v="Pennsylvania"/>
    <s v="Web"/>
    <s v="Within SLA"/>
    <n v="26"/>
    <s v="Los Angeles/CA"/>
  </r>
  <r>
    <s v="WKS-55916097"/>
    <s v="Alberik Jacques"/>
    <x v="0"/>
    <n v="6"/>
    <d v="2024-01-15T00:00:00"/>
    <s v="Service Outage"/>
    <s v="Houston"/>
    <s v="Texas"/>
    <s v="Chatbot"/>
    <s v="Below SLA"/>
    <n v="35"/>
    <s v="Baltimore/MD"/>
  </r>
  <r>
    <s v="OHX-59443580"/>
    <s v="Banky Falla"/>
    <x v="1"/>
    <n v="5"/>
    <d v="2024-01-15T00:00:00"/>
    <s v="Payments"/>
    <s v="Saint Paul"/>
    <s v="Minnesota"/>
    <s v="Call-Center"/>
    <s v="Below SLA"/>
    <n v="25"/>
    <s v="Chicago/IL"/>
  </r>
  <r>
    <s v="TLA-11600824"/>
    <s v="Ganny Crampsy"/>
    <x v="1"/>
    <n v="3"/>
    <d v="2024-01-16T00:00:00"/>
    <s v="Service Outage"/>
    <s v="Minneapolis"/>
    <s v="Minnesota"/>
    <s v="Chatbot"/>
    <s v="Within SLA"/>
    <n v="35"/>
    <s v="Chicago/IL"/>
  </r>
  <r>
    <s v="YPB-82095843"/>
    <s v="Shari Adrienne"/>
    <x v="1"/>
    <n v="3"/>
    <d v="2024-01-16T00:00:00"/>
    <s v="Billing Question"/>
    <s v="Fort Worth"/>
    <s v="Texas"/>
    <s v="Call-Center"/>
    <s v="Within SLA"/>
    <n v="38"/>
    <s v="Baltimore/MD"/>
  </r>
  <r>
    <s v="LZU-62237096"/>
    <s v="Charo Aisbett"/>
    <x v="1"/>
    <n v="3"/>
    <d v="2024-01-17T00:00:00"/>
    <s v="Billing Question"/>
    <s v="Salt Lake City"/>
    <s v="Utah"/>
    <s v="Web"/>
    <s v="Below SLA"/>
    <n v="14"/>
    <s v="Los Angeles/CA"/>
  </r>
  <r>
    <s v="XCX-53374693"/>
    <s v="Francyne Hagergham"/>
    <x v="1"/>
    <n v="6"/>
    <d v="2024-01-17T00:00:00"/>
    <s v="Billing Question"/>
    <s v="Santa Ana"/>
    <s v="California"/>
    <s v="Web"/>
    <s v="Within SLA"/>
    <n v="43"/>
    <s v="Los Angeles/CA"/>
  </r>
  <r>
    <s v="PJL-11752230"/>
    <s v="Lindsay Bubb"/>
    <x v="4"/>
    <n v="9"/>
    <d v="2024-01-18T00:00:00"/>
    <s v="Billing Question"/>
    <s v="South Lake Tahoe"/>
    <s v="California"/>
    <s v="Call-Center"/>
    <s v="Within SLA"/>
    <n v="43"/>
    <s v="Los Angeles/CA"/>
  </r>
  <r>
    <s v="MFC-52269149"/>
    <s v="Roobbie Pickervance"/>
    <x v="0"/>
    <n v="6"/>
    <d v="2024-01-18T00:00:00"/>
    <s v="Billing Question"/>
    <s v="Montgomery"/>
    <s v="Alabama"/>
    <s v="Web"/>
    <s v="Within SLA"/>
    <n v="6"/>
    <s v="Baltimore/MD"/>
  </r>
  <r>
    <s v="TQC-88855863"/>
    <s v="Erminia Lummasana"/>
    <x v="3"/>
    <n v="7"/>
    <d v="2024-01-19T00:00:00"/>
    <s v="Billing Question"/>
    <s v="Providence"/>
    <s v="Rhode Island"/>
    <s v="Email"/>
    <s v="Below SLA"/>
    <n v="41"/>
    <s v="Los Angeles/CA"/>
  </r>
  <r>
    <s v="FGR-90006976"/>
    <s v="Ariel Pittendreigh"/>
    <x v="1"/>
    <n v="4"/>
    <d v="2024-01-19T00:00:00"/>
    <s v="Payments"/>
    <s v="Richmond"/>
    <s v="Virginia"/>
    <s v="Call-Center"/>
    <s v="Within SLA"/>
    <n v="27"/>
    <s v="Baltimore/MD"/>
  </r>
  <r>
    <s v="PAT-23706620"/>
    <s v="Rudie Tomsen"/>
    <x v="3"/>
    <n v="7"/>
    <d v="2024-01-20T00:00:00"/>
    <s v="Payments"/>
    <s v="Johnstown"/>
    <s v="Pennsylvania"/>
    <s v="Call-Center"/>
    <s v="Within SLA"/>
    <n v="9"/>
    <s v="Los Angeles/CA"/>
  </r>
  <r>
    <s v="XRX-56871498"/>
    <s v="Alric Scrane"/>
    <x v="2"/>
    <n v="4"/>
    <d v="2024-01-20T00:00:00"/>
    <s v="Payments"/>
    <s v="Washington"/>
    <s v="District of Columbia"/>
    <s v="Call-Center"/>
    <s v="Within SLA"/>
    <n v="30"/>
    <s v="Los Angeles/CA"/>
  </r>
  <r>
    <s v="BYM-24034403"/>
    <s v="Eyde Djurevic"/>
    <x v="2"/>
    <n v="2"/>
    <d v="2024-01-21T00:00:00"/>
    <s v="Billing Question"/>
    <s v="Bronx"/>
    <s v="New York"/>
    <s v="Chatbot"/>
    <s v="Above SLA"/>
    <n v="36"/>
    <s v="Chicago/IL"/>
  </r>
  <r>
    <s v="TNK-37391425"/>
    <s v="Hubey Wartonby"/>
    <x v="1"/>
    <n v="3"/>
    <d v="2024-01-21T00:00:00"/>
    <s v="Payments"/>
    <s v="Las Vegas"/>
    <s v="Nevada"/>
    <s v="Call-Center"/>
    <s v="Above SLA"/>
    <n v="17"/>
    <s v="Baltimore/MD"/>
  </r>
  <r>
    <s v="JJM-32557838"/>
    <s v="Cirstoforo Jemmett"/>
    <x v="2"/>
    <n v="4"/>
    <d v="2024-01-22T00:00:00"/>
    <s v="Billing Question"/>
    <s v="Fort Myers"/>
    <s v="Florida"/>
    <s v="Web"/>
    <s v="Within SLA"/>
    <n v="38"/>
    <s v="Baltimore/MD"/>
  </r>
  <r>
    <s v="KWC-18652469"/>
    <s v="Elijah Goalby"/>
    <x v="2"/>
    <n v="2"/>
    <d v="2024-01-22T00:00:00"/>
    <s v="Service Outage"/>
    <s v="Pasadena"/>
    <s v="California"/>
    <s v="Chatbot"/>
    <s v="Within SLA"/>
    <n v="36"/>
    <s v="Los Angeles/CA"/>
  </r>
  <r>
    <s v="GCS-45015293"/>
    <s v="Thaddus Seeley"/>
    <x v="3"/>
    <n v="9"/>
    <d v="2024-01-23T00:00:00"/>
    <s v="Billing Question"/>
    <s v="Sacramento"/>
    <s v="California"/>
    <s v="Chatbot"/>
    <s v="Within SLA"/>
    <n v="38"/>
    <s v="Baltimore/MD"/>
  </r>
  <r>
    <s v="IZX-08099835"/>
    <s v="Brody Rebichon"/>
    <x v="1"/>
    <n v="6"/>
    <d v="2024-01-23T00:00:00"/>
    <s v="Billing Question"/>
    <s v="Chicago"/>
    <s v="Illinois"/>
    <s v="Chatbot"/>
    <s v="Within SLA"/>
    <n v="13"/>
    <s v="Baltimore/MD"/>
  </r>
  <r>
    <s v="TPZ-92635583"/>
    <s v="Eartha Boner"/>
    <x v="3"/>
    <n v="8"/>
    <d v="2024-01-24T00:00:00"/>
    <s v="Service Outage"/>
    <s v="Fort Wayne"/>
    <s v="Indiana"/>
    <s v="Chatbot"/>
    <s v="Within SLA"/>
    <n v="42"/>
    <s v="Los Angeles/CA"/>
  </r>
  <r>
    <s v="JOT-87331404"/>
    <s v="Loralee Shivell"/>
    <x v="0"/>
    <n v="8"/>
    <d v="2024-01-24T00:00:00"/>
    <s v="Service Outage"/>
    <s v="Kansas City"/>
    <s v="Missouri"/>
    <s v="Chatbot"/>
    <s v="Within SLA"/>
    <n v="7"/>
    <s v="Baltimore/MD"/>
  </r>
  <r>
    <s v="OKK-04567923"/>
    <s v="Zacherie Tigner"/>
    <x v="2"/>
    <n v="4"/>
    <d v="2024-01-24T00:00:00"/>
    <s v="Payments"/>
    <s v="Long Beach"/>
    <s v="California"/>
    <s v="Call-Center"/>
    <s v="Within SLA"/>
    <n v="30"/>
    <s v="Baltimore/MD"/>
  </r>
  <r>
    <s v="TCX-30032546"/>
    <s v="Madelena Pinnock"/>
    <x v="1"/>
    <n v="4"/>
    <d v="2024-01-24T00:00:00"/>
    <s v="Service Outage"/>
    <s v="Fort Pierce"/>
    <s v="Florida"/>
    <s v="Chatbot"/>
    <s v="Above SLA"/>
    <n v="22"/>
    <s v="Baltimore/MD"/>
  </r>
  <r>
    <s v="HMX-04214019"/>
    <s v="Mira Beddows"/>
    <x v="3"/>
    <n v="7"/>
    <d v="2024-01-25T00:00:00"/>
    <s v="Billing Question"/>
    <s v="Baton Rouge"/>
    <s v="Louisiana"/>
    <s v="Call-Center"/>
    <s v="Within SLA"/>
    <n v="8"/>
    <s v="Baltimore/MD"/>
  </r>
  <r>
    <s v="SYU-34524338"/>
    <s v="Giralda Gebby"/>
    <x v="2"/>
    <n v="3"/>
    <d v="2024-01-25T00:00:00"/>
    <s v="Billing Question"/>
    <s v="Naperville"/>
    <s v="Illinois"/>
    <s v="Chatbot"/>
    <s v="Above SLA"/>
    <n v="44"/>
    <s v="Baltimore/MD"/>
  </r>
  <r>
    <s v="GBF-72465641"/>
    <s v="Shelagh Washington"/>
    <x v="2"/>
    <n v="1"/>
    <d v="2024-01-26T00:00:00"/>
    <s v="Billing Question"/>
    <s v="Salt Lake City"/>
    <s v="Utah"/>
    <s v="Chatbot"/>
    <s v="Within SLA"/>
    <n v="34"/>
    <s v="Baltimore/MD"/>
  </r>
  <r>
    <s v="FMF-68865737"/>
    <s v="Janeczka Caze"/>
    <x v="1"/>
    <n v="6"/>
    <d v="2024-01-26T00:00:00"/>
    <s v="Billing Question"/>
    <s v="Minneapolis"/>
    <s v="Minnesota"/>
    <s v="Call-Center"/>
    <s v="Within SLA"/>
    <n v="18"/>
    <s v="Los Angeles/CA"/>
  </r>
  <r>
    <s v="WMA-45712668"/>
    <s v="Angie Francklin"/>
    <x v="1"/>
    <n v="4"/>
    <d v="2024-01-27T00:00:00"/>
    <s v="Billing Question"/>
    <s v="Evansville"/>
    <s v="Indiana"/>
    <s v="Email"/>
    <s v="Within SLA"/>
    <n v="23"/>
    <s v="Los Angeles/CA"/>
  </r>
  <r>
    <s v="VEC-69408692"/>
    <s v="Anna-maria McPeice"/>
    <x v="0"/>
    <n v="7"/>
    <d v="2024-01-27T00:00:00"/>
    <s v="Billing Question"/>
    <s v="Rockford"/>
    <s v="Illinois"/>
    <s v="Call-Center"/>
    <s v="Within SLA"/>
    <n v="37"/>
    <s v="Los Angeles/CA"/>
  </r>
  <r>
    <s v="MBN-58485152"/>
    <s v="Jude Traise"/>
    <x v="4"/>
    <n v="9"/>
    <d v="2024-01-28T00:00:00"/>
    <s v="Billing Question"/>
    <s v="Harrisburg"/>
    <s v="Pennsylvania"/>
    <s v="Web"/>
    <s v="Within SLA"/>
    <n v="14"/>
    <s v="Baltimore/MD"/>
  </r>
  <r>
    <s v="VBY-78584211"/>
    <s v="Evangeline Dillingham"/>
    <x v="1"/>
    <n v="5"/>
    <d v="2024-01-28T00:00:00"/>
    <s v="Billing Question"/>
    <s v="Reno"/>
    <s v="Nevada"/>
    <s v="Web"/>
    <s v="Within SLA"/>
    <n v="31"/>
    <s v="Denver/CO"/>
  </r>
  <r>
    <s v="WSO-69134806"/>
    <s v="Patti Gocher"/>
    <x v="2"/>
    <n v="1"/>
    <d v="2024-01-29T00:00:00"/>
    <s v="Payments"/>
    <s v="Bloomington"/>
    <s v="Illinois"/>
    <s v="Call-Center"/>
    <s v="Within SLA"/>
    <n v="10"/>
    <s v="Denver/CO"/>
  </r>
  <r>
    <s v="MYP-30178430"/>
    <s v="Cora Buggs"/>
    <x v="1"/>
    <n v="3"/>
    <d v="2024-01-29T00:00:00"/>
    <s v="Billing Question"/>
    <s v="Katy"/>
    <s v="Texas"/>
    <s v="Chatbot"/>
    <s v="Above SLA"/>
    <n v="45"/>
    <s v="Baltimore/MD"/>
  </r>
  <r>
    <s v="FRU-31409409"/>
    <s v="Othella Kindle"/>
    <x v="1"/>
    <n v="5"/>
    <d v="2024-01-29T00:00:00"/>
    <s v="Billing Question"/>
    <s v="Little Rock"/>
    <s v="Arkansas"/>
    <s v="Email"/>
    <s v="Within SLA"/>
    <n v="8"/>
    <s v="Denver/CO"/>
  </r>
  <r>
    <s v="VMZ-59696572"/>
    <s v="Sheppard Withull"/>
    <x v="3"/>
    <n v="8"/>
    <d v="2024-01-29T00:00:00"/>
    <s v="Billing Question"/>
    <s v="Concord"/>
    <s v="California"/>
    <s v="Email"/>
    <s v="Below SLA"/>
    <n v="35"/>
    <s v="Los Angeles/CA"/>
  </r>
  <r>
    <s v="JCE-87896568"/>
    <s v="Llewellyn Pablos"/>
    <x v="4"/>
    <n v="9"/>
    <d v="2024-01-29T00:00:00"/>
    <s v="Payments"/>
    <s v="Lubbock"/>
    <s v="Texas"/>
    <s v="Call-Center"/>
    <s v="Within SLA"/>
    <n v="33"/>
    <s v="Los Angeles/CA"/>
  </r>
  <r>
    <s v="GZL-83273642"/>
    <s v="Lurleen Swadden"/>
    <x v="0"/>
    <n v="8"/>
    <d v="2024-01-30T00:00:00"/>
    <s v="Payments"/>
    <s v="Chicago"/>
    <s v="Illinois"/>
    <s v="Call-Center"/>
    <s v="Within SLA"/>
    <n v="8"/>
    <s v="Baltimore/MD"/>
  </r>
  <r>
    <s v="YHK-31842577"/>
    <s v="Ardith Bunting"/>
    <x v="1"/>
    <n v="3"/>
    <d v="2024-01-30T00:00:00"/>
    <s v="Billing Question"/>
    <s v="Columbus"/>
    <s v="Ohio"/>
    <s v="Web"/>
    <s v="Within SLA"/>
    <n v="19"/>
    <s v="Baltimore/MD"/>
  </r>
  <r>
    <s v="BGA-81071725"/>
    <s v="Wylie Gramer"/>
    <x v="1"/>
    <n v="3"/>
    <d v="2024-01-31T00:00:00"/>
    <s v="Billing Question"/>
    <s v="Columbus"/>
    <s v="Georgia"/>
    <s v="Web"/>
    <s v="Within SLA"/>
    <n v="23"/>
    <s v="Los Angeles/CA"/>
  </r>
  <r>
    <s v="CRQ-64410572"/>
    <s v="Bat Pond"/>
    <x v="1"/>
    <n v="5"/>
    <d v="2024-01-31T00:00:00"/>
    <s v="Service Outage"/>
    <s v="New York City"/>
    <s v="New York"/>
    <s v="Chatbot"/>
    <s v="Below SLA"/>
    <n v="35"/>
    <s v="Los Angeles/C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118C1-0B7B-4294-884C-02C98005A551}" name="PivotTable6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12:L42" firstHeaderRow="1" firstDataRow="1" firstDataCol="1"/>
  <pivotFields count="2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Count of ID" fld="1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-Center-Sentiment-Sample-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172CA-16A8-40E0-ACEC-BBFE8F3FFA4F}" name="PivotTable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16:H2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1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-Center-Sentiment-Sample-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EBB70-AF3E-49DE-9A1C-64859468D1AB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C13:D1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SAT Score" fld="1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-Center-Sentiment-Sample-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3F4E3-C1CE-4964-A2B4-A3D8DC1A8CBE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4:H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1" subtotal="count" baseField="0" baseItem="0"/>
  </dataField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-Center-Sentiment-Sample-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1A68D-2AF0-4C80-B776-5E9AAE087A2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2"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SAT Score" fld="3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F595E9-9C66-48E5-96DB-79708C001731}" name="Table1" displayName="Table1" ref="B6:M76" totalsRowShown="0" headerRowDxfId="0" dataDxfId="1" headerRowBorderDxfId="15" tableBorderDxfId="16" totalsRowBorderDxfId="14">
  <autoFilter ref="B6:M76" xr:uid="{75F595E9-9C66-48E5-96DB-79708C001731}"/>
  <tableColumns count="12">
    <tableColumn id="1" xr3:uid="{7840F15B-4D9E-4638-9784-8206FB0E7582}" name="ID" dataDxfId="13"/>
    <tableColumn id="2" xr3:uid="{2D93123F-7E62-4E8A-8641-41B42366A65A}" name="Customer Name" dataDxfId="12"/>
    <tableColumn id="3" xr3:uid="{C7933C97-BDF7-4F46-B42F-14DDE9CA1D2E}" name="Sentiment" dataDxfId="11"/>
    <tableColumn id="4" xr3:uid="{7E6C78A5-F22F-4A04-9A60-B40BAF8F3A2F}" name="CSAT Score" dataDxfId="10"/>
    <tableColumn id="5" xr3:uid="{6576E1C7-184C-46FB-A74D-ABCD4758789D}" name="Call Timestamp" dataDxfId="9"/>
    <tableColumn id="6" xr3:uid="{A6AE8F83-7AB9-4089-972A-0B41369FE51E}" name="Reason" dataDxfId="8"/>
    <tableColumn id="7" xr3:uid="{5694F3C5-5B12-4994-9312-B87952C986D9}" name="City" dataDxfId="7"/>
    <tableColumn id="8" xr3:uid="{F979BF8F-5018-43B7-AA5C-BAC629D4CFB5}" name="State" dataDxfId="6"/>
    <tableColumn id="9" xr3:uid="{BDCAD087-9DA9-4AB1-BD08-2352BDE7B5D9}" name="Channel" dataDxfId="5"/>
    <tableColumn id="10" xr3:uid="{9117ECF8-A7D5-46F6-A917-9A45D7B38BD3}" name="Response Time" dataDxfId="4"/>
    <tableColumn id="11" xr3:uid="{D2AE3516-00BA-4EB7-93DA-CFD8EE9DDC80}" name="Call Duration (Minutes)" dataDxfId="3"/>
    <tableColumn id="12" xr3:uid="{2923E773-5B18-45AD-854C-4C56C05DB2AA}" name="Call Cent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6DB3-CC17-4CE7-962D-A33BE6750BF7}">
  <dimension ref="A3:L42"/>
  <sheetViews>
    <sheetView topLeftCell="A2" zoomScale="59" workbookViewId="0">
      <selection activeCell="K15" sqref="K15"/>
    </sheetView>
  </sheetViews>
  <sheetFormatPr defaultRowHeight="14" x14ac:dyDescent="0.3"/>
  <cols>
    <col min="1" max="1" width="13.08203125" bestFit="1" customWidth="1"/>
    <col min="2" max="2" width="15.1640625" bestFit="1" customWidth="1"/>
    <col min="3" max="3" width="13.83203125" bestFit="1" customWidth="1"/>
    <col min="4" max="4" width="15.6640625" bestFit="1" customWidth="1"/>
    <col min="7" max="7" width="12.58203125" bestFit="1" customWidth="1"/>
    <col min="8" max="8" width="9.6640625" bestFit="1" customWidth="1"/>
    <col min="11" max="11" width="16.6640625" bestFit="1" customWidth="1"/>
    <col min="12" max="12" width="9.6640625" bestFit="1" customWidth="1"/>
  </cols>
  <sheetData>
    <row r="3" spans="1:12" x14ac:dyDescent="0.3">
      <c r="A3" s="16" t="s">
        <v>259</v>
      </c>
      <c r="B3" t="s">
        <v>261</v>
      </c>
    </row>
    <row r="4" spans="1:12" x14ac:dyDescent="0.3">
      <c r="A4" s="17" t="s">
        <v>25</v>
      </c>
      <c r="B4" s="18">
        <v>121</v>
      </c>
      <c r="G4" s="16" t="s">
        <v>259</v>
      </c>
      <c r="H4" t="s">
        <v>262</v>
      </c>
    </row>
    <row r="5" spans="1:12" x14ac:dyDescent="0.3">
      <c r="A5" s="17" t="s">
        <v>16</v>
      </c>
      <c r="B5" s="18">
        <v>63</v>
      </c>
      <c r="G5" s="17" t="s">
        <v>28</v>
      </c>
      <c r="H5" s="18">
        <v>23</v>
      </c>
    </row>
    <row r="6" spans="1:12" x14ac:dyDescent="0.3">
      <c r="A6" s="17" t="s">
        <v>44</v>
      </c>
      <c r="B6" s="18">
        <v>77</v>
      </c>
      <c r="G6" s="17" t="s">
        <v>20</v>
      </c>
      <c r="H6" s="18">
        <v>22</v>
      </c>
    </row>
    <row r="7" spans="1:12" x14ac:dyDescent="0.3">
      <c r="A7" s="17" t="s">
        <v>37</v>
      </c>
      <c r="B7" s="18">
        <v>46</v>
      </c>
      <c r="G7" s="17" t="s">
        <v>40</v>
      </c>
      <c r="H7" s="18">
        <v>8</v>
      </c>
    </row>
    <row r="8" spans="1:12" x14ac:dyDescent="0.3">
      <c r="A8" s="17" t="s">
        <v>54</v>
      </c>
      <c r="B8" s="18">
        <v>66</v>
      </c>
      <c r="G8" s="17" t="s">
        <v>47</v>
      </c>
      <c r="H8" s="18">
        <v>17</v>
      </c>
    </row>
    <row r="9" spans="1:12" x14ac:dyDescent="0.3">
      <c r="A9" s="17" t="s">
        <v>260</v>
      </c>
      <c r="B9" s="18">
        <v>373</v>
      </c>
      <c r="G9" s="17" t="s">
        <v>260</v>
      </c>
      <c r="H9" s="18">
        <v>70</v>
      </c>
    </row>
    <row r="12" spans="1:12" x14ac:dyDescent="0.3">
      <c r="K12" s="16" t="s">
        <v>259</v>
      </c>
      <c r="L12" t="s">
        <v>262</v>
      </c>
    </row>
    <row r="13" spans="1:12" x14ac:dyDescent="0.3">
      <c r="C13" s="16" t="s">
        <v>259</v>
      </c>
      <c r="D13" t="s">
        <v>261</v>
      </c>
      <c r="K13" s="17" t="s">
        <v>46</v>
      </c>
      <c r="L13" s="18">
        <v>2</v>
      </c>
    </row>
    <row r="14" spans="1:12" x14ac:dyDescent="0.3">
      <c r="C14" s="17" t="s">
        <v>51</v>
      </c>
      <c r="D14" s="18">
        <v>139</v>
      </c>
      <c r="K14" s="17" t="s">
        <v>83</v>
      </c>
      <c r="L14" s="18">
        <v>1</v>
      </c>
    </row>
    <row r="15" spans="1:12" x14ac:dyDescent="0.3">
      <c r="C15" s="17" t="s">
        <v>22</v>
      </c>
      <c r="D15" s="18">
        <v>33</v>
      </c>
      <c r="K15" s="17" t="s">
        <v>60</v>
      </c>
      <c r="L15" s="18">
        <v>2</v>
      </c>
    </row>
    <row r="16" spans="1:12" x14ac:dyDescent="0.3">
      <c r="C16" s="17" t="s">
        <v>34</v>
      </c>
      <c r="D16" s="18">
        <v>21</v>
      </c>
      <c r="G16" s="16" t="s">
        <v>259</v>
      </c>
      <c r="H16" t="s">
        <v>262</v>
      </c>
      <c r="K16" s="17" t="s">
        <v>71</v>
      </c>
      <c r="L16" s="18">
        <v>9</v>
      </c>
    </row>
    <row r="17" spans="3:12" x14ac:dyDescent="0.3">
      <c r="C17" s="17" t="s">
        <v>29</v>
      </c>
      <c r="D17" s="18">
        <v>180</v>
      </c>
      <c r="G17" s="17" t="s">
        <v>72</v>
      </c>
      <c r="H17" s="18">
        <v>8</v>
      </c>
      <c r="K17" s="17" t="s">
        <v>127</v>
      </c>
      <c r="L17" s="18">
        <v>1</v>
      </c>
    </row>
    <row r="18" spans="3:12" x14ac:dyDescent="0.3">
      <c r="C18" s="17" t="s">
        <v>260</v>
      </c>
      <c r="D18" s="18">
        <v>373</v>
      </c>
      <c r="G18" s="17" t="s">
        <v>41</v>
      </c>
      <c r="H18" s="18">
        <v>9</v>
      </c>
      <c r="K18" s="17" t="s">
        <v>98</v>
      </c>
      <c r="L18" s="18">
        <v>2</v>
      </c>
    </row>
    <row r="19" spans="3:12" x14ac:dyDescent="0.3">
      <c r="G19" s="17" t="s">
        <v>21</v>
      </c>
      <c r="H19" s="18">
        <v>53</v>
      </c>
      <c r="K19" s="17" t="s">
        <v>39</v>
      </c>
      <c r="L19" s="18">
        <v>7</v>
      </c>
    </row>
    <row r="20" spans="3:12" x14ac:dyDescent="0.3">
      <c r="G20" s="17" t="s">
        <v>260</v>
      </c>
      <c r="H20" s="18">
        <v>70</v>
      </c>
      <c r="K20" s="17" t="s">
        <v>256</v>
      </c>
      <c r="L20" s="18">
        <v>1</v>
      </c>
    </row>
    <row r="21" spans="3:12" x14ac:dyDescent="0.3">
      <c r="K21" s="17" t="s">
        <v>27</v>
      </c>
      <c r="L21" s="18">
        <v>1</v>
      </c>
    </row>
    <row r="22" spans="3:12" x14ac:dyDescent="0.3">
      <c r="K22" s="17" t="s">
        <v>198</v>
      </c>
      <c r="L22" s="18">
        <v>5</v>
      </c>
    </row>
    <row r="23" spans="3:12" x14ac:dyDescent="0.3">
      <c r="K23" s="17" t="s">
        <v>202</v>
      </c>
      <c r="L23" s="18">
        <v>2</v>
      </c>
    </row>
    <row r="24" spans="3:12" x14ac:dyDescent="0.3">
      <c r="K24" s="17" t="s">
        <v>87</v>
      </c>
      <c r="L24" s="18">
        <v>1</v>
      </c>
    </row>
    <row r="25" spans="3:12" x14ac:dyDescent="0.3">
      <c r="K25" s="17" t="s">
        <v>137</v>
      </c>
      <c r="L25" s="18">
        <v>1</v>
      </c>
    </row>
    <row r="26" spans="3:12" x14ac:dyDescent="0.3">
      <c r="K26" s="17" t="s">
        <v>215</v>
      </c>
      <c r="L26" s="18">
        <v>1</v>
      </c>
    </row>
    <row r="27" spans="3:12" x14ac:dyDescent="0.3">
      <c r="K27" s="17" t="s">
        <v>94</v>
      </c>
      <c r="L27" s="18">
        <v>1</v>
      </c>
    </row>
    <row r="28" spans="3:12" x14ac:dyDescent="0.3">
      <c r="K28" s="17" t="s">
        <v>123</v>
      </c>
      <c r="L28" s="18">
        <v>4</v>
      </c>
    </row>
    <row r="29" spans="3:12" x14ac:dyDescent="0.3">
      <c r="K29" s="17" t="s">
        <v>206</v>
      </c>
      <c r="L29" s="18">
        <v>1</v>
      </c>
    </row>
    <row r="30" spans="3:12" x14ac:dyDescent="0.3">
      <c r="K30" s="17" t="s">
        <v>186</v>
      </c>
      <c r="L30" s="18">
        <v>2</v>
      </c>
    </row>
    <row r="31" spans="3:12" x14ac:dyDescent="0.3">
      <c r="K31" s="17" t="s">
        <v>102</v>
      </c>
      <c r="L31" s="18">
        <v>3</v>
      </c>
    </row>
    <row r="32" spans="3:12" x14ac:dyDescent="0.3">
      <c r="K32" s="17" t="s">
        <v>253</v>
      </c>
      <c r="L32" s="18">
        <v>1</v>
      </c>
    </row>
    <row r="33" spans="11:12" x14ac:dyDescent="0.3">
      <c r="K33" s="17" t="s">
        <v>79</v>
      </c>
      <c r="L33" s="18">
        <v>4</v>
      </c>
    </row>
    <row r="34" spans="11:12" x14ac:dyDescent="0.3">
      <c r="K34" s="17" t="s">
        <v>170</v>
      </c>
      <c r="L34" s="18">
        <v>1</v>
      </c>
    </row>
    <row r="35" spans="11:12" x14ac:dyDescent="0.3">
      <c r="K35" s="17" t="s">
        <v>50</v>
      </c>
      <c r="L35" s="18">
        <v>1</v>
      </c>
    </row>
    <row r="36" spans="11:12" x14ac:dyDescent="0.3">
      <c r="K36" s="17" t="s">
        <v>64</v>
      </c>
      <c r="L36" s="18">
        <v>1</v>
      </c>
    </row>
    <row r="37" spans="11:12" x14ac:dyDescent="0.3">
      <c r="K37" s="17" t="s">
        <v>33</v>
      </c>
      <c r="L37" s="18">
        <v>9</v>
      </c>
    </row>
    <row r="38" spans="11:12" x14ac:dyDescent="0.3">
      <c r="K38" s="17" t="s">
        <v>158</v>
      </c>
      <c r="L38" s="18">
        <v>2</v>
      </c>
    </row>
    <row r="39" spans="11:12" x14ac:dyDescent="0.3">
      <c r="K39" s="17" t="s">
        <v>174</v>
      </c>
      <c r="L39" s="18">
        <v>1</v>
      </c>
    </row>
    <row r="40" spans="11:12" x14ac:dyDescent="0.3">
      <c r="K40" s="17" t="s">
        <v>19</v>
      </c>
      <c r="L40" s="18">
        <v>2</v>
      </c>
    </row>
    <row r="41" spans="11:12" x14ac:dyDescent="0.3">
      <c r="K41" s="17" t="s">
        <v>106</v>
      </c>
      <c r="L41" s="18">
        <v>1</v>
      </c>
    </row>
    <row r="42" spans="11:12" x14ac:dyDescent="0.3">
      <c r="K42" s="17" t="s">
        <v>260</v>
      </c>
      <c r="L42" s="18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BD70-BD6E-4E82-94F9-0988FA592042}">
  <dimension ref="A1"/>
  <sheetViews>
    <sheetView tabSelected="1" topLeftCell="A9" zoomScale="26" zoomScaleNormal="70" workbookViewId="0">
      <selection activeCell="BM31" sqref="BM31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A715-4477-4FBA-B91C-8E6D607270F7}">
  <dimension ref="B2:N76"/>
  <sheetViews>
    <sheetView showGridLines="0" topLeftCell="A7" workbookViewId="0">
      <selection activeCell="B6" sqref="B6:M76"/>
    </sheetView>
  </sheetViews>
  <sheetFormatPr defaultColWidth="8.9140625" defaultRowHeight="14.5" x14ac:dyDescent="0.35"/>
  <cols>
    <col min="1" max="1" width="3.6640625" style="2" customWidth="1"/>
    <col min="2" max="2" width="15" style="2" customWidth="1"/>
    <col min="3" max="3" width="21" style="2" bestFit="1" customWidth="1"/>
    <col min="4" max="4" width="13.6640625" style="2" bestFit="1" customWidth="1"/>
    <col min="5" max="5" width="11.83203125" style="2" customWidth="1"/>
    <col min="6" max="6" width="15.5" style="2" customWidth="1"/>
    <col min="7" max="7" width="15.33203125" style="2" bestFit="1" customWidth="1"/>
    <col min="8" max="8" width="17" style="2" customWidth="1"/>
    <col min="9" max="9" width="18.6640625" style="2" bestFit="1" customWidth="1"/>
    <col min="10" max="10" width="11" style="2" bestFit="1" customWidth="1"/>
    <col min="11" max="11" width="15.25" style="2" customWidth="1"/>
    <col min="12" max="12" width="22" style="2" customWidth="1"/>
    <col min="13" max="13" width="14.9140625" style="2" bestFit="1" customWidth="1"/>
    <col min="14" max="14" width="10.4140625" style="2" bestFit="1" customWidth="1"/>
    <col min="15" max="16384" width="8.9140625" style="2"/>
  </cols>
  <sheetData>
    <row r="2" spans="2:14" ht="19" thickBot="1" x14ac:dyDescent="0.4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4" ht="19" thickBot="1" x14ac:dyDescent="0.4"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spans="2:14" ht="33.75" customHeight="1" x14ac:dyDescent="0.35">
      <c r="B6" s="9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2:14" x14ac:dyDescent="0.35">
      <c r="B7" s="7" t="s">
        <v>14</v>
      </c>
      <c r="C7" s="4" t="s">
        <v>15</v>
      </c>
      <c r="D7" s="4" t="s">
        <v>16</v>
      </c>
      <c r="E7" s="4">
        <v>8</v>
      </c>
      <c r="F7" s="5">
        <v>45292</v>
      </c>
      <c r="G7" s="4" t="s">
        <v>17</v>
      </c>
      <c r="H7" s="4" t="s">
        <v>18</v>
      </c>
      <c r="I7" s="4" t="s">
        <v>19</v>
      </c>
      <c r="J7" s="4" t="s">
        <v>20</v>
      </c>
      <c r="K7" s="4" t="s">
        <v>21</v>
      </c>
      <c r="L7" s="4">
        <v>14</v>
      </c>
      <c r="M7" s="8" t="s">
        <v>22</v>
      </c>
      <c r="N7" s="6"/>
    </row>
    <row r="8" spans="2:14" x14ac:dyDescent="0.35">
      <c r="B8" s="7" t="s">
        <v>23</v>
      </c>
      <c r="C8" s="4" t="s">
        <v>24</v>
      </c>
      <c r="D8" s="4" t="s">
        <v>25</v>
      </c>
      <c r="E8" s="4">
        <v>5</v>
      </c>
      <c r="F8" s="5">
        <v>45292</v>
      </c>
      <c r="G8" s="4" t="s">
        <v>17</v>
      </c>
      <c r="H8" s="4" t="s">
        <v>26</v>
      </c>
      <c r="I8" s="4" t="s">
        <v>27</v>
      </c>
      <c r="J8" s="4" t="s">
        <v>28</v>
      </c>
      <c r="K8" s="4" t="s">
        <v>21</v>
      </c>
      <c r="L8" s="4">
        <v>32</v>
      </c>
      <c r="M8" s="8" t="s">
        <v>29</v>
      </c>
      <c r="N8" s="6"/>
    </row>
    <row r="9" spans="2:14" x14ac:dyDescent="0.35">
      <c r="B9" s="7" t="s">
        <v>30</v>
      </c>
      <c r="C9" s="4" t="s">
        <v>31</v>
      </c>
      <c r="D9" s="4" t="s">
        <v>25</v>
      </c>
      <c r="E9" s="4">
        <v>3</v>
      </c>
      <c r="F9" s="5">
        <v>45293</v>
      </c>
      <c r="G9" s="4" t="s">
        <v>17</v>
      </c>
      <c r="H9" s="4" t="s">
        <v>32</v>
      </c>
      <c r="I9" s="4" t="s">
        <v>33</v>
      </c>
      <c r="J9" s="4" t="s">
        <v>20</v>
      </c>
      <c r="K9" s="4" t="s">
        <v>21</v>
      </c>
      <c r="L9" s="4">
        <v>6</v>
      </c>
      <c r="M9" s="8" t="s">
        <v>34</v>
      </c>
      <c r="N9" s="6"/>
    </row>
    <row r="10" spans="2:14" x14ac:dyDescent="0.35">
      <c r="B10" s="7" t="s">
        <v>35</v>
      </c>
      <c r="C10" s="4" t="s">
        <v>36</v>
      </c>
      <c r="D10" s="4" t="s">
        <v>37</v>
      </c>
      <c r="E10" s="4">
        <v>4</v>
      </c>
      <c r="F10" s="5">
        <v>45293</v>
      </c>
      <c r="G10" s="4" t="s">
        <v>17</v>
      </c>
      <c r="H10" s="4" t="s">
        <v>38</v>
      </c>
      <c r="I10" s="4" t="s">
        <v>39</v>
      </c>
      <c r="J10" s="4" t="s">
        <v>40</v>
      </c>
      <c r="K10" s="4" t="s">
        <v>41</v>
      </c>
      <c r="L10" s="4">
        <v>26</v>
      </c>
      <c r="M10" s="8" t="s">
        <v>29</v>
      </c>
      <c r="N10" s="6"/>
    </row>
    <row r="11" spans="2:14" x14ac:dyDescent="0.35">
      <c r="B11" s="7" t="s">
        <v>42</v>
      </c>
      <c r="C11" s="4" t="s">
        <v>43</v>
      </c>
      <c r="D11" s="4" t="s">
        <v>44</v>
      </c>
      <c r="E11" s="4">
        <v>8</v>
      </c>
      <c r="F11" s="5">
        <v>45293</v>
      </c>
      <c r="G11" s="4" t="s">
        <v>17</v>
      </c>
      <c r="H11" s="4" t="s">
        <v>45</v>
      </c>
      <c r="I11" s="4" t="s">
        <v>46</v>
      </c>
      <c r="J11" s="4" t="s">
        <v>47</v>
      </c>
      <c r="K11" s="4" t="s">
        <v>21</v>
      </c>
      <c r="L11" s="4">
        <v>26</v>
      </c>
      <c r="M11" s="8" t="s">
        <v>29</v>
      </c>
      <c r="N11" s="6"/>
    </row>
    <row r="12" spans="2:14" x14ac:dyDescent="0.35">
      <c r="B12" s="7" t="s">
        <v>48</v>
      </c>
      <c r="C12" s="4" t="s">
        <v>49</v>
      </c>
      <c r="D12" s="4" t="s">
        <v>37</v>
      </c>
      <c r="E12" s="4">
        <v>4</v>
      </c>
      <c r="F12" s="5">
        <v>45294</v>
      </c>
      <c r="G12" s="4" t="s">
        <v>17</v>
      </c>
      <c r="H12" s="4" t="s">
        <v>18</v>
      </c>
      <c r="I12" s="4" t="s">
        <v>50</v>
      </c>
      <c r="J12" s="4" t="s">
        <v>47</v>
      </c>
      <c r="K12" s="4" t="s">
        <v>21</v>
      </c>
      <c r="L12" s="4">
        <v>6</v>
      </c>
      <c r="M12" s="8" t="s">
        <v>51</v>
      </c>
      <c r="N12" s="6"/>
    </row>
    <row r="13" spans="2:14" x14ac:dyDescent="0.35">
      <c r="B13" s="7" t="s">
        <v>52</v>
      </c>
      <c r="C13" s="4" t="s">
        <v>53</v>
      </c>
      <c r="D13" s="4" t="s">
        <v>54</v>
      </c>
      <c r="E13" s="4">
        <v>10</v>
      </c>
      <c r="F13" s="5">
        <v>45294</v>
      </c>
      <c r="G13" s="4" t="s">
        <v>55</v>
      </c>
      <c r="H13" s="4" t="s">
        <v>56</v>
      </c>
      <c r="I13" s="4" t="s">
        <v>39</v>
      </c>
      <c r="J13" s="4" t="s">
        <v>28</v>
      </c>
      <c r="K13" s="4" t="s">
        <v>21</v>
      </c>
      <c r="L13" s="4">
        <v>9</v>
      </c>
      <c r="M13" s="8" t="s">
        <v>29</v>
      </c>
      <c r="N13" s="6"/>
    </row>
    <row r="14" spans="2:14" x14ac:dyDescent="0.35">
      <c r="B14" s="7" t="s">
        <v>57</v>
      </c>
      <c r="C14" s="4" t="s">
        <v>58</v>
      </c>
      <c r="D14" s="4" t="s">
        <v>25</v>
      </c>
      <c r="E14" s="4">
        <v>3</v>
      </c>
      <c r="F14" s="5">
        <v>45295</v>
      </c>
      <c r="G14" s="4" t="s">
        <v>17</v>
      </c>
      <c r="H14" s="4" t="s">
        <v>59</v>
      </c>
      <c r="I14" s="4" t="s">
        <v>60</v>
      </c>
      <c r="J14" s="4" t="s">
        <v>28</v>
      </c>
      <c r="K14" s="4" t="s">
        <v>21</v>
      </c>
      <c r="L14" s="4">
        <v>15</v>
      </c>
      <c r="M14" s="8" t="s">
        <v>51</v>
      </c>
      <c r="N14" s="6"/>
    </row>
    <row r="15" spans="2:14" x14ac:dyDescent="0.35">
      <c r="B15" s="7" t="s">
        <v>61</v>
      </c>
      <c r="C15" s="4" t="s">
        <v>62</v>
      </c>
      <c r="D15" s="4" t="s">
        <v>25</v>
      </c>
      <c r="E15" s="4">
        <v>3</v>
      </c>
      <c r="F15" s="5">
        <v>45295</v>
      </c>
      <c r="G15" s="4" t="s">
        <v>17</v>
      </c>
      <c r="H15" s="4" t="s">
        <v>63</v>
      </c>
      <c r="I15" s="4" t="s">
        <v>64</v>
      </c>
      <c r="J15" s="4" t="s">
        <v>47</v>
      </c>
      <c r="K15" s="4" t="s">
        <v>21</v>
      </c>
      <c r="L15" s="4">
        <v>12</v>
      </c>
      <c r="M15" s="8" t="s">
        <v>29</v>
      </c>
      <c r="N15" s="6"/>
    </row>
    <row r="16" spans="2:14" x14ac:dyDescent="0.35">
      <c r="B16" s="7" t="s">
        <v>65</v>
      </c>
      <c r="C16" s="4" t="s">
        <v>66</v>
      </c>
      <c r="D16" s="4" t="s">
        <v>25</v>
      </c>
      <c r="E16" s="4">
        <v>6</v>
      </c>
      <c r="F16" s="5">
        <v>45296</v>
      </c>
      <c r="G16" s="4" t="s">
        <v>17</v>
      </c>
      <c r="H16" s="4" t="s">
        <v>67</v>
      </c>
      <c r="I16" s="4" t="s">
        <v>33</v>
      </c>
      <c r="J16" s="4" t="s">
        <v>47</v>
      </c>
      <c r="K16" s="4" t="s">
        <v>21</v>
      </c>
      <c r="L16" s="4">
        <v>42</v>
      </c>
      <c r="M16" s="8" t="s">
        <v>29</v>
      </c>
      <c r="N16" s="6"/>
    </row>
    <row r="17" spans="2:14" x14ac:dyDescent="0.35">
      <c r="B17" s="7" t="s">
        <v>68</v>
      </c>
      <c r="C17" s="4" t="s">
        <v>69</v>
      </c>
      <c r="D17" s="4" t="s">
        <v>25</v>
      </c>
      <c r="E17" s="4">
        <v>3</v>
      </c>
      <c r="F17" s="5">
        <v>45296</v>
      </c>
      <c r="G17" s="4" t="s">
        <v>17</v>
      </c>
      <c r="H17" s="4" t="s">
        <v>70</v>
      </c>
      <c r="I17" s="4" t="s">
        <v>71</v>
      </c>
      <c r="J17" s="4" t="s">
        <v>20</v>
      </c>
      <c r="K17" s="4" t="s">
        <v>72</v>
      </c>
      <c r="L17" s="4">
        <v>44</v>
      </c>
      <c r="M17" s="8" t="s">
        <v>51</v>
      </c>
      <c r="N17" s="6"/>
    </row>
    <row r="18" spans="2:14" x14ac:dyDescent="0.35">
      <c r="B18" s="7" t="s">
        <v>73</v>
      </c>
      <c r="C18" s="4" t="s">
        <v>74</v>
      </c>
      <c r="D18" s="4" t="s">
        <v>16</v>
      </c>
      <c r="E18" s="4">
        <v>7</v>
      </c>
      <c r="F18" s="5">
        <v>45297</v>
      </c>
      <c r="G18" s="4" t="s">
        <v>17</v>
      </c>
      <c r="H18" s="4" t="s">
        <v>75</v>
      </c>
      <c r="I18" s="4" t="s">
        <v>19</v>
      </c>
      <c r="J18" s="4" t="s">
        <v>20</v>
      </c>
      <c r="K18" s="4" t="s">
        <v>21</v>
      </c>
      <c r="L18" s="4">
        <v>29</v>
      </c>
      <c r="M18" s="8" t="s">
        <v>51</v>
      </c>
      <c r="N18" s="6"/>
    </row>
    <row r="19" spans="2:14" x14ac:dyDescent="0.35">
      <c r="B19" s="7" t="s">
        <v>76</v>
      </c>
      <c r="C19" s="4" t="s">
        <v>77</v>
      </c>
      <c r="D19" s="4" t="s">
        <v>25</v>
      </c>
      <c r="E19" s="4">
        <v>5</v>
      </c>
      <c r="F19" s="5">
        <v>45297</v>
      </c>
      <c r="G19" s="4" t="s">
        <v>17</v>
      </c>
      <c r="H19" s="4" t="s">
        <v>78</v>
      </c>
      <c r="I19" s="4" t="s">
        <v>79</v>
      </c>
      <c r="J19" s="4" t="s">
        <v>20</v>
      </c>
      <c r="K19" s="4" t="s">
        <v>21</v>
      </c>
      <c r="L19" s="4">
        <v>35</v>
      </c>
      <c r="M19" s="8" t="s">
        <v>51</v>
      </c>
      <c r="N19" s="6"/>
    </row>
    <row r="20" spans="2:14" x14ac:dyDescent="0.35">
      <c r="B20" s="7" t="s">
        <v>80</v>
      </c>
      <c r="C20" s="4" t="s">
        <v>81</v>
      </c>
      <c r="D20" s="4" t="s">
        <v>37</v>
      </c>
      <c r="E20" s="4">
        <v>2</v>
      </c>
      <c r="F20" s="5">
        <v>45298</v>
      </c>
      <c r="G20" s="4" t="s">
        <v>17</v>
      </c>
      <c r="H20" s="4" t="s">
        <v>82</v>
      </c>
      <c r="I20" s="4" t="s">
        <v>83</v>
      </c>
      <c r="J20" s="4" t="s">
        <v>47</v>
      </c>
      <c r="K20" s="4" t="s">
        <v>21</v>
      </c>
      <c r="L20" s="4">
        <v>30</v>
      </c>
      <c r="M20" s="8" t="s">
        <v>29</v>
      </c>
      <c r="N20" s="6"/>
    </row>
    <row r="21" spans="2:14" x14ac:dyDescent="0.35">
      <c r="B21" s="7" t="s">
        <v>84</v>
      </c>
      <c r="C21" s="4" t="s">
        <v>85</v>
      </c>
      <c r="D21" s="4" t="s">
        <v>25</v>
      </c>
      <c r="E21" s="4">
        <v>6</v>
      </c>
      <c r="F21" s="5">
        <v>45298</v>
      </c>
      <c r="G21" s="4" t="s">
        <v>55</v>
      </c>
      <c r="H21" s="4" t="s">
        <v>86</v>
      </c>
      <c r="I21" s="4" t="s">
        <v>87</v>
      </c>
      <c r="J21" s="4" t="s">
        <v>28</v>
      </c>
      <c r="K21" s="4" t="s">
        <v>21</v>
      </c>
      <c r="L21" s="4">
        <v>29</v>
      </c>
      <c r="M21" s="8" t="s">
        <v>29</v>
      </c>
      <c r="N21" s="6"/>
    </row>
    <row r="22" spans="2:14" x14ac:dyDescent="0.35">
      <c r="B22" s="7" t="s">
        <v>88</v>
      </c>
      <c r="C22" s="4" t="s">
        <v>89</v>
      </c>
      <c r="D22" s="4" t="s">
        <v>44</v>
      </c>
      <c r="E22" s="4">
        <v>9</v>
      </c>
      <c r="F22" s="5">
        <v>45299</v>
      </c>
      <c r="G22" s="4" t="s">
        <v>55</v>
      </c>
      <c r="H22" s="4" t="s">
        <v>90</v>
      </c>
      <c r="I22" s="4" t="s">
        <v>71</v>
      </c>
      <c r="J22" s="4" t="s">
        <v>28</v>
      </c>
      <c r="K22" s="4" t="s">
        <v>21</v>
      </c>
      <c r="L22" s="4">
        <v>9</v>
      </c>
      <c r="M22" s="8" t="s">
        <v>51</v>
      </c>
      <c r="N22" s="6"/>
    </row>
    <row r="23" spans="2:14" x14ac:dyDescent="0.35">
      <c r="B23" s="7" t="s">
        <v>91</v>
      </c>
      <c r="C23" s="4" t="s">
        <v>92</v>
      </c>
      <c r="D23" s="4" t="s">
        <v>54</v>
      </c>
      <c r="E23" s="4">
        <v>9</v>
      </c>
      <c r="F23" s="5">
        <v>45299</v>
      </c>
      <c r="G23" s="4" t="s">
        <v>17</v>
      </c>
      <c r="H23" s="4" t="s">
        <v>93</v>
      </c>
      <c r="I23" s="4" t="s">
        <v>94</v>
      </c>
      <c r="J23" s="4" t="s">
        <v>20</v>
      </c>
      <c r="K23" s="4" t="s">
        <v>21</v>
      </c>
      <c r="L23" s="4">
        <v>8</v>
      </c>
      <c r="M23" s="8" t="s">
        <v>29</v>
      </c>
      <c r="N23" s="6"/>
    </row>
    <row r="24" spans="2:14" x14ac:dyDescent="0.35">
      <c r="B24" s="7" t="s">
        <v>95</v>
      </c>
      <c r="C24" s="4" t="s">
        <v>96</v>
      </c>
      <c r="D24" s="4" t="s">
        <v>37</v>
      </c>
      <c r="E24" s="4">
        <v>3</v>
      </c>
      <c r="F24" s="5">
        <v>45299</v>
      </c>
      <c r="G24" s="4" t="s">
        <v>17</v>
      </c>
      <c r="H24" s="4" t="s">
        <v>97</v>
      </c>
      <c r="I24" s="4" t="s">
        <v>98</v>
      </c>
      <c r="J24" s="4" t="s">
        <v>20</v>
      </c>
      <c r="K24" s="4" t="s">
        <v>72</v>
      </c>
      <c r="L24" s="4">
        <v>35</v>
      </c>
      <c r="M24" s="8" t="s">
        <v>22</v>
      </c>
      <c r="N24" s="6"/>
    </row>
    <row r="25" spans="2:14" x14ac:dyDescent="0.35">
      <c r="B25" s="7" t="s">
        <v>99</v>
      </c>
      <c r="C25" s="4" t="s">
        <v>100</v>
      </c>
      <c r="D25" s="4" t="s">
        <v>44</v>
      </c>
      <c r="E25" s="4">
        <v>7</v>
      </c>
      <c r="F25" s="5">
        <v>45299</v>
      </c>
      <c r="G25" s="4" t="s">
        <v>17</v>
      </c>
      <c r="H25" s="4" t="s">
        <v>101</v>
      </c>
      <c r="I25" s="4" t="s">
        <v>102</v>
      </c>
      <c r="J25" s="4" t="s">
        <v>47</v>
      </c>
      <c r="K25" s="4" t="s">
        <v>21</v>
      </c>
      <c r="L25" s="4">
        <v>20</v>
      </c>
      <c r="M25" s="8" t="s">
        <v>51</v>
      </c>
      <c r="N25" s="6"/>
    </row>
    <row r="26" spans="2:14" x14ac:dyDescent="0.35">
      <c r="B26" s="7" t="s">
        <v>103</v>
      </c>
      <c r="C26" s="4" t="s">
        <v>104</v>
      </c>
      <c r="D26" s="4" t="s">
        <v>25</v>
      </c>
      <c r="E26" s="4">
        <v>3</v>
      </c>
      <c r="F26" s="5">
        <v>45300</v>
      </c>
      <c r="G26" s="4" t="s">
        <v>17</v>
      </c>
      <c r="H26" s="4" t="s">
        <v>105</v>
      </c>
      <c r="I26" s="4" t="s">
        <v>106</v>
      </c>
      <c r="J26" s="4" t="s">
        <v>47</v>
      </c>
      <c r="K26" s="4" t="s">
        <v>21</v>
      </c>
      <c r="L26" s="4">
        <v>31</v>
      </c>
      <c r="M26" s="8" t="s">
        <v>29</v>
      </c>
      <c r="N26" s="6"/>
    </row>
    <row r="27" spans="2:14" x14ac:dyDescent="0.35">
      <c r="B27" s="7" t="s">
        <v>107</v>
      </c>
      <c r="C27" s="4" t="s">
        <v>108</v>
      </c>
      <c r="D27" s="4" t="s">
        <v>16</v>
      </c>
      <c r="E27" s="4">
        <v>5</v>
      </c>
      <c r="F27" s="5">
        <v>45300</v>
      </c>
      <c r="G27" s="4" t="s">
        <v>17</v>
      </c>
      <c r="H27" s="4" t="s">
        <v>109</v>
      </c>
      <c r="I27" s="4" t="s">
        <v>39</v>
      </c>
      <c r="J27" s="4" t="s">
        <v>40</v>
      </c>
      <c r="K27" s="4" t="s">
        <v>41</v>
      </c>
      <c r="L27" s="4">
        <v>39</v>
      </c>
      <c r="M27" s="8" t="s">
        <v>29</v>
      </c>
      <c r="N27" s="6"/>
    </row>
    <row r="28" spans="2:14" x14ac:dyDescent="0.35">
      <c r="B28" s="7" t="s">
        <v>110</v>
      </c>
      <c r="C28" s="4" t="s">
        <v>111</v>
      </c>
      <c r="D28" s="4" t="s">
        <v>25</v>
      </c>
      <c r="E28" s="4">
        <v>3</v>
      </c>
      <c r="F28" s="5">
        <v>45301</v>
      </c>
      <c r="G28" s="4" t="s">
        <v>17</v>
      </c>
      <c r="H28" s="4" t="s">
        <v>112</v>
      </c>
      <c r="I28" s="4" t="s">
        <v>33</v>
      </c>
      <c r="J28" s="4" t="s">
        <v>28</v>
      </c>
      <c r="K28" s="4" t="s">
        <v>21</v>
      </c>
      <c r="L28" s="4">
        <v>38</v>
      </c>
      <c r="M28" s="8" t="s">
        <v>34</v>
      </c>
      <c r="N28" s="6"/>
    </row>
    <row r="29" spans="2:14" x14ac:dyDescent="0.35">
      <c r="B29" s="7" t="s">
        <v>113</v>
      </c>
      <c r="C29" s="4" t="s">
        <v>114</v>
      </c>
      <c r="D29" s="4" t="s">
        <v>25</v>
      </c>
      <c r="E29" s="4">
        <v>4</v>
      </c>
      <c r="F29" s="5">
        <v>45301</v>
      </c>
      <c r="G29" s="4" t="s">
        <v>17</v>
      </c>
      <c r="H29" s="4" t="s">
        <v>115</v>
      </c>
      <c r="I29" s="4" t="s">
        <v>71</v>
      </c>
      <c r="J29" s="4" t="s">
        <v>28</v>
      </c>
      <c r="K29" s="4" t="s">
        <v>72</v>
      </c>
      <c r="L29" s="4">
        <v>44</v>
      </c>
      <c r="M29" s="8" t="s">
        <v>34</v>
      </c>
      <c r="N29" s="6"/>
    </row>
    <row r="30" spans="2:14" x14ac:dyDescent="0.35">
      <c r="B30" s="7" t="s">
        <v>116</v>
      </c>
      <c r="C30" s="4" t="s">
        <v>117</v>
      </c>
      <c r="D30" s="4" t="s">
        <v>37</v>
      </c>
      <c r="E30" s="4">
        <v>4</v>
      </c>
      <c r="F30" s="5">
        <v>45302</v>
      </c>
      <c r="G30" s="4" t="s">
        <v>118</v>
      </c>
      <c r="H30" s="4" t="s">
        <v>119</v>
      </c>
      <c r="I30" s="4" t="s">
        <v>33</v>
      </c>
      <c r="J30" s="4" t="s">
        <v>20</v>
      </c>
      <c r="K30" s="4" t="s">
        <v>21</v>
      </c>
      <c r="L30" s="4">
        <v>41</v>
      </c>
      <c r="M30" s="8" t="s">
        <v>22</v>
      </c>
      <c r="N30" s="6"/>
    </row>
    <row r="31" spans="2:14" x14ac:dyDescent="0.35">
      <c r="B31" s="7" t="s">
        <v>120</v>
      </c>
      <c r="C31" s="4" t="s">
        <v>121</v>
      </c>
      <c r="D31" s="4" t="s">
        <v>37</v>
      </c>
      <c r="E31" s="4">
        <v>4</v>
      </c>
      <c r="F31" s="5">
        <v>45302</v>
      </c>
      <c r="G31" s="4" t="s">
        <v>17</v>
      </c>
      <c r="H31" s="4" t="s">
        <v>122</v>
      </c>
      <c r="I31" s="4" t="s">
        <v>123</v>
      </c>
      <c r="J31" s="4" t="s">
        <v>20</v>
      </c>
      <c r="K31" s="4" t="s">
        <v>21</v>
      </c>
      <c r="L31" s="4">
        <v>7</v>
      </c>
      <c r="M31" s="8" t="s">
        <v>51</v>
      </c>
      <c r="N31" s="6"/>
    </row>
    <row r="32" spans="2:14" x14ac:dyDescent="0.35">
      <c r="B32" s="7" t="s">
        <v>124</v>
      </c>
      <c r="C32" s="4" t="s">
        <v>125</v>
      </c>
      <c r="D32" s="4" t="s">
        <v>37</v>
      </c>
      <c r="E32" s="4">
        <v>4</v>
      </c>
      <c r="F32" s="5">
        <v>45303</v>
      </c>
      <c r="G32" s="4" t="s">
        <v>17</v>
      </c>
      <c r="H32" s="4" t="s">
        <v>126</v>
      </c>
      <c r="I32" s="4" t="s">
        <v>127</v>
      </c>
      <c r="J32" s="4" t="s">
        <v>40</v>
      </c>
      <c r="K32" s="4" t="s">
        <v>21</v>
      </c>
      <c r="L32" s="4">
        <v>34</v>
      </c>
      <c r="M32" s="8" t="s">
        <v>29</v>
      </c>
      <c r="N32" s="6"/>
    </row>
    <row r="33" spans="2:14" x14ac:dyDescent="0.35">
      <c r="B33" s="7" t="s">
        <v>128</v>
      </c>
      <c r="C33" s="4" t="s">
        <v>129</v>
      </c>
      <c r="D33" s="4" t="s">
        <v>54</v>
      </c>
      <c r="E33" s="4">
        <v>10</v>
      </c>
      <c r="F33" s="5">
        <v>45303</v>
      </c>
      <c r="G33" s="4" t="s">
        <v>17</v>
      </c>
      <c r="H33" s="4" t="s">
        <v>130</v>
      </c>
      <c r="I33" s="4" t="s">
        <v>33</v>
      </c>
      <c r="J33" s="4" t="s">
        <v>47</v>
      </c>
      <c r="K33" s="4" t="s">
        <v>41</v>
      </c>
      <c r="L33" s="4">
        <v>36</v>
      </c>
      <c r="M33" s="8" t="s">
        <v>29</v>
      </c>
      <c r="N33" s="6"/>
    </row>
    <row r="34" spans="2:14" x14ac:dyDescent="0.35">
      <c r="B34" s="7" t="s">
        <v>131</v>
      </c>
      <c r="C34" s="4" t="s">
        <v>132</v>
      </c>
      <c r="D34" s="4" t="s">
        <v>16</v>
      </c>
      <c r="E34" s="4">
        <v>8</v>
      </c>
      <c r="F34" s="5">
        <v>45304</v>
      </c>
      <c r="G34" s="4" t="s">
        <v>17</v>
      </c>
      <c r="H34" s="4" t="s">
        <v>133</v>
      </c>
      <c r="I34" s="4" t="s">
        <v>39</v>
      </c>
      <c r="J34" s="4" t="s">
        <v>28</v>
      </c>
      <c r="K34" s="4" t="s">
        <v>21</v>
      </c>
      <c r="L34" s="4">
        <v>9</v>
      </c>
      <c r="M34" s="8" t="s">
        <v>22</v>
      </c>
      <c r="N34" s="6"/>
    </row>
    <row r="35" spans="2:14" x14ac:dyDescent="0.35">
      <c r="B35" s="7" t="s">
        <v>134</v>
      </c>
      <c r="C35" s="4" t="s">
        <v>135</v>
      </c>
      <c r="D35" s="4" t="s">
        <v>25</v>
      </c>
      <c r="E35" s="4">
        <v>6</v>
      </c>
      <c r="F35" s="5">
        <v>45304</v>
      </c>
      <c r="G35" s="4" t="s">
        <v>17</v>
      </c>
      <c r="H35" s="4" t="s">
        <v>136</v>
      </c>
      <c r="I35" s="4" t="s">
        <v>137</v>
      </c>
      <c r="J35" s="4" t="s">
        <v>28</v>
      </c>
      <c r="K35" s="4" t="s">
        <v>21</v>
      </c>
      <c r="L35" s="4">
        <v>39</v>
      </c>
      <c r="M35" s="8" t="s">
        <v>51</v>
      </c>
      <c r="N35" s="6"/>
    </row>
    <row r="36" spans="2:14" x14ac:dyDescent="0.35">
      <c r="B36" s="7" t="s">
        <v>138</v>
      </c>
      <c r="C36" s="4" t="s">
        <v>139</v>
      </c>
      <c r="D36" s="4" t="s">
        <v>44</v>
      </c>
      <c r="E36" s="4">
        <v>7</v>
      </c>
      <c r="F36" s="5">
        <v>45305</v>
      </c>
      <c r="G36" s="4" t="s">
        <v>17</v>
      </c>
      <c r="H36" s="4" t="s">
        <v>140</v>
      </c>
      <c r="I36" s="4" t="s">
        <v>39</v>
      </c>
      <c r="J36" s="4" t="s">
        <v>40</v>
      </c>
      <c r="K36" s="4" t="s">
        <v>21</v>
      </c>
      <c r="L36" s="4">
        <v>17</v>
      </c>
      <c r="M36" s="8" t="s">
        <v>29</v>
      </c>
      <c r="N36" s="6"/>
    </row>
    <row r="37" spans="2:14" x14ac:dyDescent="0.35">
      <c r="B37" s="7" t="s">
        <v>141</v>
      </c>
      <c r="C37" s="4" t="s">
        <v>142</v>
      </c>
      <c r="D37" s="4" t="s">
        <v>54</v>
      </c>
      <c r="E37" s="4">
        <v>10</v>
      </c>
      <c r="F37" s="5">
        <v>45305</v>
      </c>
      <c r="G37" s="4" t="s">
        <v>17</v>
      </c>
      <c r="H37" s="4" t="s">
        <v>143</v>
      </c>
      <c r="I37" s="4" t="s">
        <v>79</v>
      </c>
      <c r="J37" s="4" t="s">
        <v>47</v>
      </c>
      <c r="K37" s="4" t="s">
        <v>21</v>
      </c>
      <c r="L37" s="4">
        <v>26</v>
      </c>
      <c r="M37" s="8" t="s">
        <v>29</v>
      </c>
      <c r="N37" s="6"/>
    </row>
    <row r="38" spans="2:14" x14ac:dyDescent="0.35">
      <c r="B38" s="7" t="s">
        <v>144</v>
      </c>
      <c r="C38" s="4" t="s">
        <v>145</v>
      </c>
      <c r="D38" s="4" t="s">
        <v>16</v>
      </c>
      <c r="E38" s="4">
        <v>6</v>
      </c>
      <c r="F38" s="5">
        <v>45306</v>
      </c>
      <c r="G38" s="4" t="s">
        <v>118</v>
      </c>
      <c r="H38" s="4" t="s">
        <v>146</v>
      </c>
      <c r="I38" s="4" t="s">
        <v>33</v>
      </c>
      <c r="J38" s="4" t="s">
        <v>20</v>
      </c>
      <c r="K38" s="4" t="s">
        <v>41</v>
      </c>
      <c r="L38" s="4">
        <v>35</v>
      </c>
      <c r="M38" s="8" t="s">
        <v>51</v>
      </c>
      <c r="N38" s="6"/>
    </row>
    <row r="39" spans="2:14" x14ac:dyDescent="0.35">
      <c r="B39" s="7" t="s">
        <v>147</v>
      </c>
      <c r="C39" s="4" t="s">
        <v>148</v>
      </c>
      <c r="D39" s="4" t="s">
        <v>25</v>
      </c>
      <c r="E39" s="4">
        <v>5</v>
      </c>
      <c r="F39" s="5">
        <v>45306</v>
      </c>
      <c r="G39" s="4" t="s">
        <v>55</v>
      </c>
      <c r="H39" s="4" t="s">
        <v>149</v>
      </c>
      <c r="I39" s="4" t="s">
        <v>123</v>
      </c>
      <c r="J39" s="4" t="s">
        <v>28</v>
      </c>
      <c r="K39" s="4" t="s">
        <v>41</v>
      </c>
      <c r="L39" s="4">
        <v>25</v>
      </c>
      <c r="M39" s="8" t="s">
        <v>22</v>
      </c>
      <c r="N39" s="6"/>
    </row>
    <row r="40" spans="2:14" x14ac:dyDescent="0.35">
      <c r="B40" s="7" t="s">
        <v>150</v>
      </c>
      <c r="C40" s="4" t="s">
        <v>151</v>
      </c>
      <c r="D40" s="4" t="s">
        <v>25</v>
      </c>
      <c r="E40" s="4">
        <v>3</v>
      </c>
      <c r="F40" s="5">
        <v>45307</v>
      </c>
      <c r="G40" s="4" t="s">
        <v>118</v>
      </c>
      <c r="H40" s="4" t="s">
        <v>122</v>
      </c>
      <c r="I40" s="4" t="s">
        <v>123</v>
      </c>
      <c r="J40" s="4" t="s">
        <v>20</v>
      </c>
      <c r="K40" s="4" t="s">
        <v>21</v>
      </c>
      <c r="L40" s="4">
        <v>35</v>
      </c>
      <c r="M40" s="8" t="s">
        <v>22</v>
      </c>
      <c r="N40" s="6"/>
    </row>
    <row r="41" spans="2:14" x14ac:dyDescent="0.35">
      <c r="B41" s="7" t="s">
        <v>152</v>
      </c>
      <c r="C41" s="4" t="s">
        <v>153</v>
      </c>
      <c r="D41" s="4" t="s">
        <v>25</v>
      </c>
      <c r="E41" s="4">
        <v>3</v>
      </c>
      <c r="F41" s="5">
        <v>45307</v>
      </c>
      <c r="G41" s="4" t="s">
        <v>17</v>
      </c>
      <c r="H41" s="4" t="s">
        <v>154</v>
      </c>
      <c r="I41" s="4" t="s">
        <v>33</v>
      </c>
      <c r="J41" s="4" t="s">
        <v>28</v>
      </c>
      <c r="K41" s="4" t="s">
        <v>21</v>
      </c>
      <c r="L41" s="4">
        <v>38</v>
      </c>
      <c r="M41" s="8" t="s">
        <v>51</v>
      </c>
      <c r="N41" s="6"/>
    </row>
    <row r="42" spans="2:14" x14ac:dyDescent="0.35">
      <c r="B42" s="7" t="s">
        <v>155</v>
      </c>
      <c r="C42" s="4" t="s">
        <v>156</v>
      </c>
      <c r="D42" s="4" t="s">
        <v>25</v>
      </c>
      <c r="E42" s="4">
        <v>3</v>
      </c>
      <c r="F42" s="5">
        <v>45308</v>
      </c>
      <c r="G42" s="4" t="s">
        <v>17</v>
      </c>
      <c r="H42" s="4" t="s">
        <v>157</v>
      </c>
      <c r="I42" s="4" t="s">
        <v>158</v>
      </c>
      <c r="J42" s="4" t="s">
        <v>47</v>
      </c>
      <c r="K42" s="4" t="s">
        <v>41</v>
      </c>
      <c r="L42" s="4">
        <v>14</v>
      </c>
      <c r="M42" s="8" t="s">
        <v>29</v>
      </c>
      <c r="N42" s="6"/>
    </row>
    <row r="43" spans="2:14" x14ac:dyDescent="0.35">
      <c r="B43" s="7" t="s">
        <v>159</v>
      </c>
      <c r="C43" s="4" t="s">
        <v>160</v>
      </c>
      <c r="D43" s="4" t="s">
        <v>25</v>
      </c>
      <c r="E43" s="4">
        <v>6</v>
      </c>
      <c r="F43" s="5">
        <v>45308</v>
      </c>
      <c r="G43" s="4" t="s">
        <v>17</v>
      </c>
      <c r="H43" s="4" t="s">
        <v>70</v>
      </c>
      <c r="I43" s="4" t="s">
        <v>71</v>
      </c>
      <c r="J43" s="4" t="s">
        <v>47</v>
      </c>
      <c r="K43" s="4" t="s">
        <v>21</v>
      </c>
      <c r="L43" s="4">
        <v>43</v>
      </c>
      <c r="M43" s="8" t="s">
        <v>29</v>
      </c>
      <c r="N43" s="6"/>
    </row>
    <row r="44" spans="2:14" x14ac:dyDescent="0.35">
      <c r="B44" s="7" t="s">
        <v>161</v>
      </c>
      <c r="C44" s="4" t="s">
        <v>162</v>
      </c>
      <c r="D44" s="4" t="s">
        <v>54</v>
      </c>
      <c r="E44" s="4">
        <v>9</v>
      </c>
      <c r="F44" s="5">
        <v>45309</v>
      </c>
      <c r="G44" s="4" t="s">
        <v>17</v>
      </c>
      <c r="H44" s="4" t="s">
        <v>163</v>
      </c>
      <c r="I44" s="4" t="s">
        <v>71</v>
      </c>
      <c r="J44" s="4" t="s">
        <v>28</v>
      </c>
      <c r="K44" s="4" t="s">
        <v>21</v>
      </c>
      <c r="L44" s="4">
        <v>43</v>
      </c>
      <c r="M44" s="8" t="s">
        <v>29</v>
      </c>
      <c r="N44" s="6"/>
    </row>
    <row r="45" spans="2:14" x14ac:dyDescent="0.35">
      <c r="B45" s="7" t="s">
        <v>164</v>
      </c>
      <c r="C45" s="4" t="s">
        <v>165</v>
      </c>
      <c r="D45" s="4" t="s">
        <v>16</v>
      </c>
      <c r="E45" s="4">
        <v>6</v>
      </c>
      <c r="F45" s="5">
        <v>45309</v>
      </c>
      <c r="G45" s="4" t="s">
        <v>17</v>
      </c>
      <c r="H45" s="4" t="s">
        <v>166</v>
      </c>
      <c r="I45" s="4" t="s">
        <v>46</v>
      </c>
      <c r="J45" s="4" t="s">
        <v>47</v>
      </c>
      <c r="K45" s="4" t="s">
        <v>21</v>
      </c>
      <c r="L45" s="4">
        <v>6</v>
      </c>
      <c r="M45" s="8" t="s">
        <v>51</v>
      </c>
      <c r="N45" s="6"/>
    </row>
    <row r="46" spans="2:14" x14ac:dyDescent="0.35">
      <c r="B46" s="7" t="s">
        <v>167</v>
      </c>
      <c r="C46" s="4" t="s">
        <v>168</v>
      </c>
      <c r="D46" s="4" t="s">
        <v>44</v>
      </c>
      <c r="E46" s="4">
        <v>7</v>
      </c>
      <c r="F46" s="5">
        <v>45310</v>
      </c>
      <c r="G46" s="4" t="s">
        <v>17</v>
      </c>
      <c r="H46" s="4" t="s">
        <v>169</v>
      </c>
      <c r="I46" s="4" t="s">
        <v>170</v>
      </c>
      <c r="J46" s="4" t="s">
        <v>40</v>
      </c>
      <c r="K46" s="4" t="s">
        <v>41</v>
      </c>
      <c r="L46" s="4">
        <v>41</v>
      </c>
      <c r="M46" s="8" t="s">
        <v>29</v>
      </c>
      <c r="N46" s="6"/>
    </row>
    <row r="47" spans="2:14" x14ac:dyDescent="0.35">
      <c r="B47" s="7" t="s">
        <v>171</v>
      </c>
      <c r="C47" s="4" t="s">
        <v>172</v>
      </c>
      <c r="D47" s="4" t="s">
        <v>25</v>
      </c>
      <c r="E47" s="4">
        <v>4</v>
      </c>
      <c r="F47" s="5">
        <v>45310</v>
      </c>
      <c r="G47" s="4" t="s">
        <v>55</v>
      </c>
      <c r="H47" s="4" t="s">
        <v>173</v>
      </c>
      <c r="I47" s="4" t="s">
        <v>174</v>
      </c>
      <c r="J47" s="4" t="s">
        <v>28</v>
      </c>
      <c r="K47" s="4" t="s">
        <v>21</v>
      </c>
      <c r="L47" s="4">
        <v>27</v>
      </c>
      <c r="M47" s="8" t="s">
        <v>51</v>
      </c>
      <c r="N47" s="6"/>
    </row>
    <row r="48" spans="2:14" x14ac:dyDescent="0.35">
      <c r="B48" s="7" t="s">
        <v>175</v>
      </c>
      <c r="C48" s="4" t="s">
        <v>176</v>
      </c>
      <c r="D48" s="4" t="s">
        <v>44</v>
      </c>
      <c r="E48" s="4">
        <v>7</v>
      </c>
      <c r="F48" s="5">
        <v>45311</v>
      </c>
      <c r="G48" s="4" t="s">
        <v>55</v>
      </c>
      <c r="H48" s="4" t="s">
        <v>177</v>
      </c>
      <c r="I48" s="4" t="s">
        <v>79</v>
      </c>
      <c r="J48" s="4" t="s">
        <v>28</v>
      </c>
      <c r="K48" s="4" t="s">
        <v>21</v>
      </c>
      <c r="L48" s="4">
        <v>9</v>
      </c>
      <c r="M48" s="8" t="s">
        <v>29</v>
      </c>
      <c r="N48" s="6"/>
    </row>
    <row r="49" spans="2:14" x14ac:dyDescent="0.35">
      <c r="B49" s="7" t="s">
        <v>178</v>
      </c>
      <c r="C49" s="4" t="s">
        <v>179</v>
      </c>
      <c r="D49" s="4" t="s">
        <v>37</v>
      </c>
      <c r="E49" s="4">
        <v>4</v>
      </c>
      <c r="F49" s="5">
        <v>45311</v>
      </c>
      <c r="G49" s="4" t="s">
        <v>55</v>
      </c>
      <c r="H49" s="4" t="s">
        <v>97</v>
      </c>
      <c r="I49" s="4" t="s">
        <v>98</v>
      </c>
      <c r="J49" s="4" t="s">
        <v>28</v>
      </c>
      <c r="K49" s="4" t="s">
        <v>21</v>
      </c>
      <c r="L49" s="4">
        <v>30</v>
      </c>
      <c r="M49" s="8" t="s">
        <v>29</v>
      </c>
      <c r="N49" s="6"/>
    </row>
    <row r="50" spans="2:14" x14ac:dyDescent="0.35">
      <c r="B50" s="7" t="s">
        <v>180</v>
      </c>
      <c r="C50" s="4" t="s">
        <v>181</v>
      </c>
      <c r="D50" s="4" t="s">
        <v>37</v>
      </c>
      <c r="E50" s="4">
        <v>2</v>
      </c>
      <c r="F50" s="5">
        <v>45312</v>
      </c>
      <c r="G50" s="4" t="s">
        <v>17</v>
      </c>
      <c r="H50" s="4" t="s">
        <v>182</v>
      </c>
      <c r="I50" s="4" t="s">
        <v>102</v>
      </c>
      <c r="J50" s="4" t="s">
        <v>20</v>
      </c>
      <c r="K50" s="4" t="s">
        <v>72</v>
      </c>
      <c r="L50" s="4">
        <v>36</v>
      </c>
      <c r="M50" s="8" t="s">
        <v>22</v>
      </c>
      <c r="N50" s="6"/>
    </row>
    <row r="51" spans="2:14" x14ac:dyDescent="0.35">
      <c r="B51" s="7" t="s">
        <v>183</v>
      </c>
      <c r="C51" s="4" t="s">
        <v>184</v>
      </c>
      <c r="D51" s="4" t="s">
        <v>25</v>
      </c>
      <c r="E51" s="4">
        <v>3</v>
      </c>
      <c r="F51" s="5">
        <v>45312</v>
      </c>
      <c r="G51" s="4" t="s">
        <v>55</v>
      </c>
      <c r="H51" s="4" t="s">
        <v>185</v>
      </c>
      <c r="I51" s="4" t="s">
        <v>186</v>
      </c>
      <c r="J51" s="4" t="s">
        <v>28</v>
      </c>
      <c r="K51" s="4" t="s">
        <v>72</v>
      </c>
      <c r="L51" s="4">
        <v>17</v>
      </c>
      <c r="M51" s="8" t="s">
        <v>51</v>
      </c>
      <c r="N51" s="6"/>
    </row>
    <row r="52" spans="2:14" x14ac:dyDescent="0.35">
      <c r="B52" s="7" t="s">
        <v>187</v>
      </c>
      <c r="C52" s="4" t="s">
        <v>188</v>
      </c>
      <c r="D52" s="4" t="s">
        <v>37</v>
      </c>
      <c r="E52" s="4">
        <v>4</v>
      </c>
      <c r="F52" s="5">
        <v>45313</v>
      </c>
      <c r="G52" s="4" t="s">
        <v>17</v>
      </c>
      <c r="H52" s="4" t="s">
        <v>38</v>
      </c>
      <c r="I52" s="4" t="s">
        <v>39</v>
      </c>
      <c r="J52" s="4" t="s">
        <v>47</v>
      </c>
      <c r="K52" s="4" t="s">
        <v>21</v>
      </c>
      <c r="L52" s="4">
        <v>38</v>
      </c>
      <c r="M52" s="8" t="s">
        <v>51</v>
      </c>
      <c r="N52" s="6"/>
    </row>
    <row r="53" spans="2:14" x14ac:dyDescent="0.35">
      <c r="B53" s="7" t="s">
        <v>189</v>
      </c>
      <c r="C53" s="4" t="s">
        <v>190</v>
      </c>
      <c r="D53" s="4" t="s">
        <v>37</v>
      </c>
      <c r="E53" s="4">
        <v>2</v>
      </c>
      <c r="F53" s="5">
        <v>45313</v>
      </c>
      <c r="G53" s="4" t="s">
        <v>118</v>
      </c>
      <c r="H53" s="4" t="s">
        <v>191</v>
      </c>
      <c r="I53" s="4" t="s">
        <v>71</v>
      </c>
      <c r="J53" s="4" t="s">
        <v>20</v>
      </c>
      <c r="K53" s="4" t="s">
        <v>21</v>
      </c>
      <c r="L53" s="4">
        <v>36</v>
      </c>
      <c r="M53" s="8" t="s">
        <v>29</v>
      </c>
      <c r="N53" s="6"/>
    </row>
    <row r="54" spans="2:14" x14ac:dyDescent="0.35">
      <c r="B54" s="7" t="s">
        <v>192</v>
      </c>
      <c r="C54" s="4" t="s">
        <v>193</v>
      </c>
      <c r="D54" s="4" t="s">
        <v>44</v>
      </c>
      <c r="E54" s="4">
        <v>9</v>
      </c>
      <c r="F54" s="5">
        <v>45314</v>
      </c>
      <c r="G54" s="4" t="s">
        <v>17</v>
      </c>
      <c r="H54" s="4" t="s">
        <v>194</v>
      </c>
      <c r="I54" s="4" t="s">
        <v>71</v>
      </c>
      <c r="J54" s="4" t="s">
        <v>20</v>
      </c>
      <c r="K54" s="4" t="s">
        <v>21</v>
      </c>
      <c r="L54" s="4">
        <v>38</v>
      </c>
      <c r="M54" s="8" t="s">
        <v>51</v>
      </c>
      <c r="N54" s="6"/>
    </row>
    <row r="55" spans="2:14" x14ac:dyDescent="0.35">
      <c r="B55" s="7" t="s">
        <v>195</v>
      </c>
      <c r="C55" s="4" t="s">
        <v>196</v>
      </c>
      <c r="D55" s="4" t="s">
        <v>25</v>
      </c>
      <c r="E55" s="4">
        <v>6</v>
      </c>
      <c r="F55" s="5">
        <v>45314</v>
      </c>
      <c r="G55" s="4" t="s">
        <v>17</v>
      </c>
      <c r="H55" s="4" t="s">
        <v>197</v>
      </c>
      <c r="I55" s="4" t="s">
        <v>198</v>
      </c>
      <c r="J55" s="4" t="s">
        <v>20</v>
      </c>
      <c r="K55" s="4" t="s">
        <v>21</v>
      </c>
      <c r="L55" s="4">
        <v>13</v>
      </c>
      <c r="M55" s="8" t="s">
        <v>51</v>
      </c>
      <c r="N55" s="6"/>
    </row>
    <row r="56" spans="2:14" x14ac:dyDescent="0.35">
      <c r="B56" s="7" t="s">
        <v>199</v>
      </c>
      <c r="C56" s="4" t="s">
        <v>200</v>
      </c>
      <c r="D56" s="4" t="s">
        <v>44</v>
      </c>
      <c r="E56" s="4">
        <v>8</v>
      </c>
      <c r="F56" s="5">
        <v>45315</v>
      </c>
      <c r="G56" s="4" t="s">
        <v>118</v>
      </c>
      <c r="H56" s="4" t="s">
        <v>201</v>
      </c>
      <c r="I56" s="4" t="s">
        <v>202</v>
      </c>
      <c r="J56" s="4" t="s">
        <v>20</v>
      </c>
      <c r="K56" s="4" t="s">
        <v>21</v>
      </c>
      <c r="L56" s="4">
        <v>42</v>
      </c>
      <c r="M56" s="8" t="s">
        <v>29</v>
      </c>
      <c r="N56" s="6"/>
    </row>
    <row r="57" spans="2:14" x14ac:dyDescent="0.35">
      <c r="B57" s="7" t="s">
        <v>203</v>
      </c>
      <c r="C57" s="4" t="s">
        <v>204</v>
      </c>
      <c r="D57" s="4" t="s">
        <v>16</v>
      </c>
      <c r="E57" s="4">
        <v>8</v>
      </c>
      <c r="F57" s="5">
        <v>45315</v>
      </c>
      <c r="G57" s="4" t="s">
        <v>118</v>
      </c>
      <c r="H57" s="4" t="s">
        <v>205</v>
      </c>
      <c r="I57" s="4" t="s">
        <v>206</v>
      </c>
      <c r="J57" s="4" t="s">
        <v>20</v>
      </c>
      <c r="K57" s="4" t="s">
        <v>21</v>
      </c>
      <c r="L57" s="4">
        <v>7</v>
      </c>
      <c r="M57" s="8" t="s">
        <v>51</v>
      </c>
      <c r="N57" s="6"/>
    </row>
    <row r="58" spans="2:14" x14ac:dyDescent="0.35">
      <c r="B58" s="7" t="s">
        <v>207</v>
      </c>
      <c r="C58" s="4" t="s">
        <v>208</v>
      </c>
      <c r="D58" s="4" t="s">
        <v>37</v>
      </c>
      <c r="E58" s="4">
        <v>4</v>
      </c>
      <c r="F58" s="5">
        <v>45315</v>
      </c>
      <c r="G58" s="4" t="s">
        <v>55</v>
      </c>
      <c r="H58" s="4" t="s">
        <v>209</v>
      </c>
      <c r="I58" s="4" t="s">
        <v>71</v>
      </c>
      <c r="J58" s="4" t="s">
        <v>28</v>
      </c>
      <c r="K58" s="4" t="s">
        <v>21</v>
      </c>
      <c r="L58" s="4">
        <v>30</v>
      </c>
      <c r="M58" s="8" t="s">
        <v>51</v>
      </c>
      <c r="N58" s="6"/>
    </row>
    <row r="59" spans="2:14" x14ac:dyDescent="0.35">
      <c r="B59" s="7" t="s">
        <v>210</v>
      </c>
      <c r="C59" s="4" t="s">
        <v>211</v>
      </c>
      <c r="D59" s="4" t="s">
        <v>25</v>
      </c>
      <c r="E59" s="4">
        <v>4</v>
      </c>
      <c r="F59" s="5">
        <v>45315</v>
      </c>
      <c r="G59" s="4" t="s">
        <v>118</v>
      </c>
      <c r="H59" s="4" t="s">
        <v>109</v>
      </c>
      <c r="I59" s="4" t="s">
        <v>39</v>
      </c>
      <c r="J59" s="4" t="s">
        <v>20</v>
      </c>
      <c r="K59" s="4" t="s">
        <v>72</v>
      </c>
      <c r="L59" s="4">
        <v>22</v>
      </c>
      <c r="M59" s="8" t="s">
        <v>51</v>
      </c>
      <c r="N59" s="6"/>
    </row>
    <row r="60" spans="2:14" x14ac:dyDescent="0.35">
      <c r="B60" s="7" t="s">
        <v>212</v>
      </c>
      <c r="C60" s="4" t="s">
        <v>213</v>
      </c>
      <c r="D60" s="4" t="s">
        <v>44</v>
      </c>
      <c r="E60" s="4">
        <v>7</v>
      </c>
      <c r="F60" s="5">
        <v>45316</v>
      </c>
      <c r="G60" s="4" t="s">
        <v>17</v>
      </c>
      <c r="H60" s="4" t="s">
        <v>214</v>
      </c>
      <c r="I60" s="4" t="s">
        <v>215</v>
      </c>
      <c r="J60" s="4" t="s">
        <v>28</v>
      </c>
      <c r="K60" s="4" t="s">
        <v>21</v>
      </c>
      <c r="L60" s="4">
        <v>8</v>
      </c>
      <c r="M60" s="8" t="s">
        <v>51</v>
      </c>
      <c r="N60" s="6"/>
    </row>
    <row r="61" spans="2:14" x14ac:dyDescent="0.35">
      <c r="B61" s="7" t="s">
        <v>216</v>
      </c>
      <c r="C61" s="4" t="s">
        <v>217</v>
      </c>
      <c r="D61" s="4" t="s">
        <v>37</v>
      </c>
      <c r="E61" s="4">
        <v>3</v>
      </c>
      <c r="F61" s="5">
        <v>45316</v>
      </c>
      <c r="G61" s="4" t="s">
        <v>17</v>
      </c>
      <c r="H61" s="4" t="s">
        <v>218</v>
      </c>
      <c r="I61" s="4" t="s">
        <v>198</v>
      </c>
      <c r="J61" s="4" t="s">
        <v>20</v>
      </c>
      <c r="K61" s="4" t="s">
        <v>72</v>
      </c>
      <c r="L61" s="4">
        <v>44</v>
      </c>
      <c r="M61" s="8" t="s">
        <v>51</v>
      </c>
      <c r="N61" s="6"/>
    </row>
    <row r="62" spans="2:14" x14ac:dyDescent="0.35">
      <c r="B62" s="7" t="s">
        <v>219</v>
      </c>
      <c r="C62" s="4" t="s">
        <v>220</v>
      </c>
      <c r="D62" s="4" t="s">
        <v>37</v>
      </c>
      <c r="E62" s="4">
        <v>1</v>
      </c>
      <c r="F62" s="5">
        <v>45317</v>
      </c>
      <c r="G62" s="4" t="s">
        <v>17</v>
      </c>
      <c r="H62" s="4" t="s">
        <v>157</v>
      </c>
      <c r="I62" s="4" t="s">
        <v>158</v>
      </c>
      <c r="J62" s="4" t="s">
        <v>20</v>
      </c>
      <c r="K62" s="4" t="s">
        <v>21</v>
      </c>
      <c r="L62" s="4">
        <v>34</v>
      </c>
      <c r="M62" s="8" t="s">
        <v>51</v>
      </c>
      <c r="N62" s="6"/>
    </row>
    <row r="63" spans="2:14" x14ac:dyDescent="0.35">
      <c r="B63" s="7" t="s">
        <v>221</v>
      </c>
      <c r="C63" s="4" t="s">
        <v>222</v>
      </c>
      <c r="D63" s="4" t="s">
        <v>25</v>
      </c>
      <c r="E63" s="4">
        <v>6</v>
      </c>
      <c r="F63" s="5">
        <v>45317</v>
      </c>
      <c r="G63" s="4" t="s">
        <v>17</v>
      </c>
      <c r="H63" s="4" t="s">
        <v>122</v>
      </c>
      <c r="I63" s="4" t="s">
        <v>123</v>
      </c>
      <c r="J63" s="4" t="s">
        <v>28</v>
      </c>
      <c r="K63" s="4" t="s">
        <v>21</v>
      </c>
      <c r="L63" s="4">
        <v>18</v>
      </c>
      <c r="M63" s="8" t="s">
        <v>29</v>
      </c>
      <c r="N63" s="6"/>
    </row>
    <row r="64" spans="2:14" x14ac:dyDescent="0.35">
      <c r="B64" s="7" t="s">
        <v>223</v>
      </c>
      <c r="C64" s="4" t="s">
        <v>224</v>
      </c>
      <c r="D64" s="4" t="s">
        <v>25</v>
      </c>
      <c r="E64" s="4">
        <v>4</v>
      </c>
      <c r="F64" s="5">
        <v>45318</v>
      </c>
      <c r="G64" s="4" t="s">
        <v>17</v>
      </c>
      <c r="H64" s="4" t="s">
        <v>225</v>
      </c>
      <c r="I64" s="4" t="s">
        <v>202</v>
      </c>
      <c r="J64" s="4" t="s">
        <v>40</v>
      </c>
      <c r="K64" s="4" t="s">
        <v>21</v>
      </c>
      <c r="L64" s="4">
        <v>23</v>
      </c>
      <c r="M64" s="8" t="s">
        <v>29</v>
      </c>
      <c r="N64" s="6"/>
    </row>
    <row r="65" spans="2:14" x14ac:dyDescent="0.35">
      <c r="B65" s="7" t="s">
        <v>226</v>
      </c>
      <c r="C65" s="4" t="s">
        <v>227</v>
      </c>
      <c r="D65" s="4" t="s">
        <v>16</v>
      </c>
      <c r="E65" s="4">
        <v>7</v>
      </c>
      <c r="F65" s="5">
        <v>45318</v>
      </c>
      <c r="G65" s="4" t="s">
        <v>17</v>
      </c>
      <c r="H65" s="4" t="s">
        <v>228</v>
      </c>
      <c r="I65" s="4" t="s">
        <v>198</v>
      </c>
      <c r="J65" s="4" t="s">
        <v>28</v>
      </c>
      <c r="K65" s="4" t="s">
        <v>21</v>
      </c>
      <c r="L65" s="4">
        <v>37</v>
      </c>
      <c r="M65" s="8" t="s">
        <v>29</v>
      </c>
      <c r="N65" s="6"/>
    </row>
    <row r="66" spans="2:14" x14ac:dyDescent="0.35">
      <c r="B66" s="7" t="s">
        <v>229</v>
      </c>
      <c r="C66" s="4" t="s">
        <v>230</v>
      </c>
      <c r="D66" s="4" t="s">
        <v>54</v>
      </c>
      <c r="E66" s="4">
        <v>9</v>
      </c>
      <c r="F66" s="5">
        <v>45319</v>
      </c>
      <c r="G66" s="4" t="s">
        <v>17</v>
      </c>
      <c r="H66" s="4" t="s">
        <v>231</v>
      </c>
      <c r="I66" s="4" t="s">
        <v>79</v>
      </c>
      <c r="J66" s="4" t="s">
        <v>47</v>
      </c>
      <c r="K66" s="4" t="s">
        <v>21</v>
      </c>
      <c r="L66" s="4">
        <v>14</v>
      </c>
      <c r="M66" s="8" t="s">
        <v>51</v>
      </c>
      <c r="N66" s="6"/>
    </row>
    <row r="67" spans="2:14" x14ac:dyDescent="0.35">
      <c r="B67" s="7" t="s">
        <v>232</v>
      </c>
      <c r="C67" s="4" t="s">
        <v>233</v>
      </c>
      <c r="D67" s="4" t="s">
        <v>25</v>
      </c>
      <c r="E67" s="4">
        <v>5</v>
      </c>
      <c r="F67" s="5">
        <v>45319</v>
      </c>
      <c r="G67" s="4" t="s">
        <v>17</v>
      </c>
      <c r="H67" s="4" t="s">
        <v>234</v>
      </c>
      <c r="I67" s="4" t="s">
        <v>186</v>
      </c>
      <c r="J67" s="4" t="s">
        <v>47</v>
      </c>
      <c r="K67" s="4" t="s">
        <v>21</v>
      </c>
      <c r="L67" s="4">
        <v>31</v>
      </c>
      <c r="M67" s="8" t="s">
        <v>34</v>
      </c>
      <c r="N67" s="6"/>
    </row>
    <row r="68" spans="2:14" x14ac:dyDescent="0.35">
      <c r="B68" s="7" t="s">
        <v>235</v>
      </c>
      <c r="C68" s="4" t="s">
        <v>236</v>
      </c>
      <c r="D68" s="4" t="s">
        <v>37</v>
      </c>
      <c r="E68" s="4">
        <v>1</v>
      </c>
      <c r="F68" s="5">
        <v>45320</v>
      </c>
      <c r="G68" s="4" t="s">
        <v>55</v>
      </c>
      <c r="H68" s="4" t="s">
        <v>237</v>
      </c>
      <c r="I68" s="4" t="s">
        <v>198</v>
      </c>
      <c r="J68" s="4" t="s">
        <v>28</v>
      </c>
      <c r="K68" s="4" t="s">
        <v>21</v>
      </c>
      <c r="L68" s="4">
        <v>10</v>
      </c>
      <c r="M68" s="8" t="s">
        <v>34</v>
      </c>
      <c r="N68" s="6"/>
    </row>
    <row r="69" spans="2:14" x14ac:dyDescent="0.35">
      <c r="B69" s="7" t="s">
        <v>238</v>
      </c>
      <c r="C69" s="4" t="s">
        <v>239</v>
      </c>
      <c r="D69" s="4" t="s">
        <v>25</v>
      </c>
      <c r="E69" s="4">
        <v>3</v>
      </c>
      <c r="F69" s="5">
        <v>45320</v>
      </c>
      <c r="G69" s="4" t="s">
        <v>17</v>
      </c>
      <c r="H69" s="4" t="s">
        <v>240</v>
      </c>
      <c r="I69" s="4" t="s">
        <v>33</v>
      </c>
      <c r="J69" s="4" t="s">
        <v>20</v>
      </c>
      <c r="K69" s="4" t="s">
        <v>72</v>
      </c>
      <c r="L69" s="4">
        <v>45</v>
      </c>
      <c r="M69" s="8" t="s">
        <v>51</v>
      </c>
      <c r="N69" s="6"/>
    </row>
    <row r="70" spans="2:14" x14ac:dyDescent="0.35">
      <c r="B70" s="7" t="s">
        <v>241</v>
      </c>
      <c r="C70" s="4" t="s">
        <v>242</v>
      </c>
      <c r="D70" s="4" t="s">
        <v>25</v>
      </c>
      <c r="E70" s="4">
        <v>5</v>
      </c>
      <c r="F70" s="5">
        <v>45320</v>
      </c>
      <c r="G70" s="4" t="s">
        <v>17</v>
      </c>
      <c r="H70" s="4" t="s">
        <v>59</v>
      </c>
      <c r="I70" s="4" t="s">
        <v>60</v>
      </c>
      <c r="J70" s="4" t="s">
        <v>40</v>
      </c>
      <c r="K70" s="4" t="s">
        <v>21</v>
      </c>
      <c r="L70" s="4">
        <v>8</v>
      </c>
      <c r="M70" s="8" t="s">
        <v>34</v>
      </c>
      <c r="N70" s="6"/>
    </row>
    <row r="71" spans="2:14" x14ac:dyDescent="0.35">
      <c r="B71" s="7" t="s">
        <v>243</v>
      </c>
      <c r="C71" s="4" t="s">
        <v>244</v>
      </c>
      <c r="D71" s="4" t="s">
        <v>44</v>
      </c>
      <c r="E71" s="4">
        <v>8</v>
      </c>
      <c r="F71" s="5">
        <v>45320</v>
      </c>
      <c r="G71" s="4" t="s">
        <v>17</v>
      </c>
      <c r="H71" s="4" t="s">
        <v>245</v>
      </c>
      <c r="I71" s="4" t="s">
        <v>71</v>
      </c>
      <c r="J71" s="4" t="s">
        <v>40</v>
      </c>
      <c r="K71" s="4" t="s">
        <v>41</v>
      </c>
      <c r="L71" s="4">
        <v>35</v>
      </c>
      <c r="M71" s="8" t="s">
        <v>29</v>
      </c>
      <c r="N71" s="6"/>
    </row>
    <row r="72" spans="2:14" x14ac:dyDescent="0.35">
      <c r="B72" s="7" t="s">
        <v>246</v>
      </c>
      <c r="C72" s="4" t="s">
        <v>247</v>
      </c>
      <c r="D72" s="4" t="s">
        <v>54</v>
      </c>
      <c r="E72" s="4">
        <v>9</v>
      </c>
      <c r="F72" s="5">
        <v>45320</v>
      </c>
      <c r="G72" s="4" t="s">
        <v>55</v>
      </c>
      <c r="H72" s="4" t="s">
        <v>112</v>
      </c>
      <c r="I72" s="4" t="s">
        <v>33</v>
      </c>
      <c r="J72" s="4" t="s">
        <v>28</v>
      </c>
      <c r="K72" s="4" t="s">
        <v>21</v>
      </c>
      <c r="L72" s="4">
        <v>33</v>
      </c>
      <c r="M72" s="8" t="s">
        <v>29</v>
      </c>
      <c r="N72" s="6"/>
    </row>
    <row r="73" spans="2:14" x14ac:dyDescent="0.35">
      <c r="B73" s="7" t="s">
        <v>248</v>
      </c>
      <c r="C73" s="4" t="s">
        <v>249</v>
      </c>
      <c r="D73" s="4" t="s">
        <v>16</v>
      </c>
      <c r="E73" s="4">
        <v>8</v>
      </c>
      <c r="F73" s="5">
        <v>45321</v>
      </c>
      <c r="G73" s="4" t="s">
        <v>55</v>
      </c>
      <c r="H73" s="4" t="s">
        <v>197</v>
      </c>
      <c r="I73" s="4" t="s">
        <v>198</v>
      </c>
      <c r="J73" s="4" t="s">
        <v>28</v>
      </c>
      <c r="K73" s="4" t="s">
        <v>21</v>
      </c>
      <c r="L73" s="4">
        <v>8</v>
      </c>
      <c r="M73" s="8" t="s">
        <v>51</v>
      </c>
      <c r="N73" s="6"/>
    </row>
    <row r="74" spans="2:14" x14ac:dyDescent="0.35">
      <c r="B74" s="7" t="s">
        <v>250</v>
      </c>
      <c r="C74" s="4" t="s">
        <v>251</v>
      </c>
      <c r="D74" s="4" t="s">
        <v>25</v>
      </c>
      <c r="E74" s="4">
        <v>3</v>
      </c>
      <c r="F74" s="5">
        <v>45321</v>
      </c>
      <c r="G74" s="4" t="s">
        <v>17</v>
      </c>
      <c r="H74" s="4" t="s">
        <v>252</v>
      </c>
      <c r="I74" s="4" t="s">
        <v>253</v>
      </c>
      <c r="J74" s="4" t="s">
        <v>47</v>
      </c>
      <c r="K74" s="4" t="s">
        <v>21</v>
      </c>
      <c r="L74" s="4">
        <v>19</v>
      </c>
      <c r="M74" s="8" t="s">
        <v>51</v>
      </c>
      <c r="N74" s="6"/>
    </row>
    <row r="75" spans="2:14" x14ac:dyDescent="0.35">
      <c r="B75" s="7" t="s">
        <v>254</v>
      </c>
      <c r="C75" s="4" t="s">
        <v>255</v>
      </c>
      <c r="D75" s="4" t="s">
        <v>25</v>
      </c>
      <c r="E75" s="4">
        <v>3</v>
      </c>
      <c r="F75" s="5">
        <v>45322</v>
      </c>
      <c r="G75" s="4" t="s">
        <v>17</v>
      </c>
      <c r="H75" s="4" t="s">
        <v>252</v>
      </c>
      <c r="I75" s="4" t="s">
        <v>256</v>
      </c>
      <c r="J75" s="4" t="s">
        <v>47</v>
      </c>
      <c r="K75" s="4" t="s">
        <v>21</v>
      </c>
      <c r="L75" s="4">
        <v>23</v>
      </c>
      <c r="M75" s="8" t="s">
        <v>29</v>
      </c>
      <c r="N75" s="6"/>
    </row>
    <row r="76" spans="2:14" x14ac:dyDescent="0.35">
      <c r="B76" s="12" t="s">
        <v>257</v>
      </c>
      <c r="C76" s="13" t="s">
        <v>258</v>
      </c>
      <c r="D76" s="13" t="s">
        <v>25</v>
      </c>
      <c r="E76" s="13">
        <v>5</v>
      </c>
      <c r="F76" s="14">
        <v>45322</v>
      </c>
      <c r="G76" s="13" t="s">
        <v>118</v>
      </c>
      <c r="H76" s="13" t="s">
        <v>101</v>
      </c>
      <c r="I76" s="13" t="s">
        <v>102</v>
      </c>
      <c r="J76" s="13" t="s">
        <v>20</v>
      </c>
      <c r="K76" s="13" t="s">
        <v>41</v>
      </c>
      <c r="L76" s="13">
        <v>35</v>
      </c>
      <c r="M76" s="15" t="s">
        <v>29</v>
      </c>
      <c r="N76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Call Center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DELL</cp:lastModifiedBy>
  <dcterms:created xsi:type="dcterms:W3CDTF">2024-02-19T11:52:50Z</dcterms:created>
  <dcterms:modified xsi:type="dcterms:W3CDTF">2026-06-07T18:30:25Z</dcterms:modified>
</cp:coreProperties>
</file>